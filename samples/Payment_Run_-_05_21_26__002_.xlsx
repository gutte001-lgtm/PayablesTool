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AppData\Local\Microsoft\Windows\INetCache\Content.Outlook\5AI6GBXH\"/>
    </mc:Choice>
  </mc:AlternateContent>
  <xr:revisionPtr revIDLastSave="0" documentId="8_{3EA0B974-BF6A-41E7-9CA3-C6B778FD5D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 Run" sheetId="3" r:id="rId1"/>
    <sheet name="Data" sheetId="1" r:id="rId2"/>
  </sheets>
  <definedNames>
    <definedName name="_xlnm._FilterDatabase" localSheetId="1" hidden="1">Data!$A$1:$Q$280</definedName>
    <definedName name="_xlnm._FilterDatabase" localSheetId="0" hidden="1">'Pay Run'!$A$1:$N$102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3" l="1"/>
  <c r="F121" i="1"/>
  <c r="N121" i="1" s="1"/>
  <c r="H17" i="3"/>
  <c r="H24" i="3"/>
  <c r="H32" i="3"/>
  <c r="H95" i="3"/>
  <c r="H101" i="3"/>
  <c r="H69" i="3"/>
  <c r="F122" i="1"/>
  <c r="N122" i="1" s="1"/>
  <c r="F180" i="1"/>
  <c r="N180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43" i="1"/>
  <c r="N43" i="1" s="1"/>
  <c r="F44" i="1"/>
  <c r="N44" i="1" s="1"/>
  <c r="F230" i="1"/>
  <c r="N230" i="1" s="1"/>
  <c r="F183" i="1"/>
  <c r="N183" i="1" s="1"/>
  <c r="F184" i="1"/>
  <c r="N184" i="1" s="1"/>
  <c r="F185" i="1"/>
  <c r="N185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249" i="1"/>
  <c r="N249" i="1" s="1"/>
  <c r="F45" i="1"/>
  <c r="N45" i="1" s="1"/>
  <c r="F46" i="1"/>
  <c r="N46" i="1" s="1"/>
  <c r="F138" i="1"/>
  <c r="N138" i="1" s="1"/>
  <c r="F139" i="1"/>
  <c r="N139" i="1" s="1"/>
  <c r="F140" i="1"/>
  <c r="N140" i="1" s="1"/>
  <c r="F34" i="1"/>
  <c r="N34" i="1" s="1"/>
  <c r="F141" i="1"/>
  <c r="N141" i="1" s="1"/>
  <c r="F81" i="1"/>
  <c r="N81" i="1" s="1"/>
  <c r="F2" i="1"/>
  <c r="N2" i="1" s="1"/>
  <c r="F83" i="1"/>
  <c r="N83" i="1" s="1"/>
  <c r="F82" i="1"/>
  <c r="N82" i="1" s="1"/>
  <c r="F47" i="1"/>
  <c r="N47" i="1" s="1"/>
  <c r="F48" i="1"/>
  <c r="N48" i="1" s="1"/>
  <c r="F49" i="1"/>
  <c r="N49" i="1" s="1"/>
  <c r="F25" i="1"/>
  <c r="N25" i="1" s="1"/>
  <c r="F224" i="1"/>
  <c r="N224" i="1" s="1"/>
  <c r="F225" i="1"/>
  <c r="N225" i="1" s="1"/>
  <c r="F187" i="1"/>
  <c r="N187" i="1" s="1"/>
  <c r="F186" i="1"/>
  <c r="N186" i="1" s="1"/>
  <c r="F188" i="1"/>
  <c r="N188" i="1" s="1"/>
  <c r="F190" i="1"/>
  <c r="N190" i="1" s="1"/>
  <c r="F189" i="1"/>
  <c r="N189" i="1" s="1"/>
  <c r="F191" i="1"/>
  <c r="N191" i="1" s="1"/>
  <c r="F226" i="1"/>
  <c r="N226" i="1" s="1"/>
  <c r="F50" i="1"/>
  <c r="N50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24" i="1"/>
  <c r="N24" i="1" s="1"/>
  <c r="F13" i="1"/>
  <c r="N13" i="1" s="1"/>
  <c r="F14" i="1"/>
  <c r="N14" i="1" s="1"/>
  <c r="F15" i="1"/>
  <c r="N15" i="1" s="1"/>
  <c r="F272" i="1"/>
  <c r="N272" i="1" s="1"/>
  <c r="F235" i="1"/>
  <c r="N235" i="1" s="1"/>
  <c r="F250" i="1"/>
  <c r="N250" i="1" s="1"/>
  <c r="F251" i="1"/>
  <c r="N251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41" i="1"/>
  <c r="N241" i="1" s="1"/>
  <c r="F237" i="1"/>
  <c r="N237" i="1" s="1"/>
  <c r="F35" i="1"/>
  <c r="N35" i="1" s="1"/>
  <c r="F36" i="1"/>
  <c r="N36" i="1" s="1"/>
  <c r="F26" i="1"/>
  <c r="N26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84" i="1"/>
  <c r="N84" i="1" s="1"/>
  <c r="F267" i="1"/>
  <c r="N267" i="1" s="1"/>
  <c r="F271" i="1"/>
  <c r="N271" i="1" s="1"/>
  <c r="F238" i="1"/>
  <c r="N238" i="1" s="1"/>
  <c r="F37" i="1"/>
  <c r="N37" i="1" s="1"/>
  <c r="F227" i="1"/>
  <c r="N227" i="1" s="1"/>
  <c r="F263" i="1"/>
  <c r="N263" i="1" s="1"/>
  <c r="F51" i="1"/>
  <c r="N51" i="1" s="1"/>
  <c r="F38" i="1"/>
  <c r="N38" i="1" s="1"/>
  <c r="F39" i="1"/>
  <c r="N39" i="1" s="1"/>
  <c r="F264" i="1"/>
  <c r="N264" i="1" s="1"/>
  <c r="F40" i="1"/>
  <c r="N40" i="1" s="1"/>
  <c r="F86" i="1"/>
  <c r="N86" i="1" s="1"/>
  <c r="F85" i="1"/>
  <c r="N85" i="1" s="1"/>
  <c r="F88" i="1"/>
  <c r="N88" i="1" s="1"/>
  <c r="F89" i="1"/>
  <c r="N89" i="1" s="1"/>
  <c r="F90" i="1"/>
  <c r="N90" i="1" s="1"/>
  <c r="F87" i="1"/>
  <c r="N87" i="1" s="1"/>
  <c r="F91" i="1"/>
  <c r="N91" i="1" s="1"/>
  <c r="F92" i="1"/>
  <c r="N92" i="1" s="1"/>
  <c r="F268" i="1"/>
  <c r="N268" i="1" s="1"/>
  <c r="F244" i="1"/>
  <c r="N244" i="1" s="1"/>
  <c r="F240" i="1"/>
  <c r="N240" i="1" s="1"/>
  <c r="F52" i="1"/>
  <c r="N52" i="1" s="1"/>
  <c r="F53" i="1"/>
  <c r="N53" i="1" s="1"/>
  <c r="F203" i="1"/>
  <c r="N203" i="1" s="1"/>
  <c r="F204" i="1"/>
  <c r="N204" i="1" s="1"/>
  <c r="F199" i="1"/>
  <c r="N199" i="1" s="1"/>
  <c r="F206" i="1"/>
  <c r="N206" i="1" s="1"/>
  <c r="F207" i="1"/>
  <c r="N207" i="1" s="1"/>
  <c r="F208" i="1"/>
  <c r="N208" i="1" s="1"/>
  <c r="F209" i="1"/>
  <c r="N209" i="1" s="1"/>
  <c r="F142" i="1"/>
  <c r="N142" i="1" s="1"/>
  <c r="F143" i="1"/>
  <c r="N143" i="1" s="1"/>
  <c r="F144" i="1"/>
  <c r="N144" i="1" s="1"/>
  <c r="F145" i="1"/>
  <c r="N145" i="1" s="1"/>
  <c r="F146" i="1"/>
  <c r="N146" i="1" s="1"/>
  <c r="F193" i="1"/>
  <c r="N193" i="1" s="1"/>
  <c r="F194" i="1"/>
  <c r="N194" i="1" s="1"/>
  <c r="F148" i="1"/>
  <c r="N148" i="1" s="1"/>
  <c r="F192" i="1"/>
  <c r="N192" i="1" s="1"/>
  <c r="F195" i="1"/>
  <c r="N195" i="1" s="1"/>
  <c r="F196" i="1"/>
  <c r="N196" i="1" s="1"/>
  <c r="F147" i="1"/>
  <c r="N147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98" i="1"/>
  <c r="N198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97" i="1"/>
  <c r="N197" i="1" s="1"/>
  <c r="F173" i="1"/>
  <c r="N173" i="1" s="1"/>
  <c r="F174" i="1"/>
  <c r="N174" i="1" s="1"/>
  <c r="F200" i="1"/>
  <c r="N200" i="1" s="1"/>
  <c r="F201" i="1"/>
  <c r="N201" i="1" s="1"/>
  <c r="F202" i="1"/>
  <c r="N202" i="1" s="1"/>
  <c r="F175" i="1"/>
  <c r="N175" i="1" s="1"/>
  <c r="F176" i="1"/>
  <c r="N176" i="1" s="1"/>
  <c r="F41" i="1"/>
  <c r="N41" i="1" s="1"/>
  <c r="F66" i="1"/>
  <c r="N66" i="1" s="1"/>
  <c r="F54" i="1"/>
  <c r="N54" i="1" s="1"/>
  <c r="F55" i="1"/>
  <c r="N55" i="1" s="1"/>
  <c r="F62" i="1"/>
  <c r="N62" i="1" s="1"/>
  <c r="F63" i="1"/>
  <c r="N63" i="1" s="1"/>
  <c r="F181" i="1"/>
  <c r="N181" i="1" s="1"/>
  <c r="F242" i="1"/>
  <c r="N242" i="1" s="1"/>
  <c r="F273" i="1"/>
  <c r="N273" i="1" s="1"/>
  <c r="F65" i="1"/>
  <c r="N65" i="1" s="1"/>
  <c r="F64" i="1"/>
  <c r="N64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56" i="1"/>
  <c r="N56" i="1" s="1"/>
  <c r="F42" i="1"/>
  <c r="N42" i="1" s="1"/>
  <c r="F57" i="1"/>
  <c r="N57" i="1" s="1"/>
  <c r="F177" i="1"/>
  <c r="N177" i="1" s="1"/>
  <c r="F178" i="1"/>
  <c r="N178" i="1" s="1"/>
  <c r="F228" i="1"/>
  <c r="N228" i="1" s="1"/>
  <c r="F229" i="1"/>
  <c r="N229" i="1" s="1"/>
  <c r="F231" i="1"/>
  <c r="N231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123" i="1"/>
  <c r="N123" i="1" s="1"/>
  <c r="F124" i="1"/>
  <c r="N124" i="1" s="1"/>
  <c r="F125" i="1"/>
  <c r="N125" i="1" s="1"/>
  <c r="F233" i="1"/>
  <c r="N233" i="1" s="1"/>
  <c r="F205" i="1"/>
  <c r="N205" i="1" s="1"/>
  <c r="F210" i="1"/>
  <c r="N210" i="1" s="1"/>
  <c r="F269" i="1"/>
  <c r="N269" i="1" s="1"/>
  <c r="F179" i="1"/>
  <c r="N179" i="1" s="1"/>
  <c r="F243" i="1"/>
  <c r="N243" i="1" s="1"/>
  <c r="F248" i="1"/>
  <c r="N248" i="1" s="1"/>
  <c r="F236" i="1"/>
  <c r="N236" i="1" s="1"/>
  <c r="F232" i="1"/>
  <c r="N232" i="1" s="1"/>
  <c r="F211" i="1"/>
  <c r="N211" i="1" s="1"/>
  <c r="F212" i="1"/>
  <c r="N212" i="1" s="1"/>
  <c r="F182" i="1"/>
  <c r="N182" i="1" s="1"/>
  <c r="F265" i="1"/>
  <c r="N265" i="1" s="1"/>
  <c r="F119" i="1"/>
  <c r="N119" i="1" s="1"/>
  <c r="F234" i="1"/>
  <c r="N234" i="1" s="1"/>
  <c r="F58" i="1"/>
  <c r="N58" i="1" s="1"/>
  <c r="F245" i="1"/>
  <c r="N245" i="1" s="1"/>
  <c r="F246" i="1"/>
  <c r="N246" i="1" s="1"/>
  <c r="F247" i="1"/>
  <c r="N247" i="1" s="1"/>
  <c r="F59" i="1"/>
  <c r="N59" i="1" s="1"/>
  <c r="F266" i="1"/>
  <c r="N266" i="1" s="1"/>
  <c r="F120" i="1"/>
  <c r="N120" i="1" s="1"/>
  <c r="F213" i="1"/>
  <c r="N213" i="1" s="1"/>
  <c r="F215" i="1"/>
  <c r="N215" i="1" s="1"/>
  <c r="F214" i="1"/>
  <c r="N214" i="1" s="1"/>
  <c r="F217" i="1"/>
  <c r="N217" i="1" s="1"/>
  <c r="F218" i="1"/>
  <c r="N218" i="1" s="1"/>
  <c r="F219" i="1"/>
  <c r="N219" i="1" s="1"/>
  <c r="F220" i="1"/>
  <c r="N220" i="1" s="1"/>
  <c r="F221" i="1"/>
  <c r="N221" i="1" s="1"/>
  <c r="F216" i="1"/>
  <c r="N216" i="1" s="1"/>
  <c r="F222" i="1"/>
  <c r="N222" i="1" s="1"/>
  <c r="F60" i="1"/>
  <c r="N60" i="1" s="1"/>
  <c r="F252" i="1"/>
  <c r="N252" i="1" s="1"/>
  <c r="F61" i="1"/>
  <c r="N61" i="1" s="1"/>
  <c r="F93" i="1"/>
  <c r="N93" i="1" s="1"/>
  <c r="F94" i="1"/>
  <c r="N94" i="1" s="1"/>
  <c r="F95" i="1"/>
  <c r="N95" i="1" s="1"/>
  <c r="F97" i="1"/>
  <c r="N97" i="1" s="1"/>
  <c r="F96" i="1"/>
  <c r="N96" i="1" s="1"/>
  <c r="F98" i="1"/>
  <c r="N98" i="1" s="1"/>
  <c r="F270" i="1"/>
  <c r="N270" i="1" s="1"/>
  <c r="F99" i="1"/>
  <c r="N99" i="1" s="1"/>
  <c r="F100" i="1"/>
  <c r="N100" i="1" s="1"/>
  <c r="F102" i="1"/>
  <c r="N102" i="1" s="1"/>
  <c r="F239" i="1"/>
  <c r="N239" i="1" s="1"/>
  <c r="F103" i="1"/>
  <c r="N103" i="1" s="1"/>
  <c r="F104" i="1"/>
  <c r="N104" i="1" s="1"/>
  <c r="F101" i="1"/>
  <c r="N101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H76" i="3"/>
  <c r="H33" i="3" l="1"/>
  <c r="H102" i="3" s="1"/>
</calcChain>
</file>

<file path=xl/sharedStrings.xml><?xml version="1.0" encoding="utf-8"?>
<sst xmlns="http://schemas.openxmlformats.org/spreadsheetml/2006/main" count="3778" uniqueCount="775">
  <si>
    <t>Vendor</t>
  </si>
  <si>
    <t>Vendor Type</t>
  </si>
  <si>
    <t>Bill number</t>
  </si>
  <si>
    <t>Date</t>
  </si>
  <si>
    <t>Due date</t>
  </si>
  <si>
    <t>Amount</t>
  </si>
  <si>
    <t>Open balance</t>
  </si>
  <si>
    <t>Payment Method</t>
  </si>
  <si>
    <t>Bill Approval</t>
  </si>
  <si>
    <t>Approval Date</t>
  </si>
  <si>
    <t>Memo</t>
  </si>
  <si>
    <t>Notes</t>
  </si>
  <si>
    <t>Christopher Yackel (V)</t>
  </si>
  <si>
    <t>Contractor - Outside Sales Commissions</t>
  </si>
  <si>
    <t>CY009342234</t>
  </si>
  <si>
    <t>04/27/2026</t>
  </si>
  <si>
    <t>05/11/2026</t>
  </si>
  <si>
    <t>Check</t>
  </si>
  <si>
    <t>Marilyn - Pur Board</t>
  </si>
  <si>
    <t>04/28/2026</t>
  </si>
  <si>
    <t/>
  </si>
  <si>
    <t>OPS-156398 Referral for Vanquish, Exilis, Emtone</t>
  </si>
  <si>
    <t>Eduardo Parker (V)</t>
  </si>
  <si>
    <t>Contractor - Service &amp; Repair</t>
  </si>
  <si>
    <t>CI-001236</t>
  </si>
  <si>
    <t>04/24/2026</t>
  </si>
  <si>
    <t>OPS-172304 - Lutronic Clarity II (SN: C3021D022) - MET Tech Ed Parker</t>
  </si>
  <si>
    <t>Einstein Pros Portland (V)</t>
  </si>
  <si>
    <t>320</t>
  </si>
  <si>
    <t>04/30/2026</t>
  </si>
  <si>
    <t>05/14/2026</t>
  </si>
  <si>
    <t>05/08/2026</t>
  </si>
  <si>
    <t>OPS-173730 - Field Service Labor - Deka Dot (SN: UX8A44804R) - Dr Michael Kim - MET Tech Einstein Pros of Portland</t>
  </si>
  <si>
    <t>Insight HTM LLC (V)</t>
  </si>
  <si>
    <t>1318</t>
  </si>
  <si>
    <t>05/22/2026</t>
  </si>
  <si>
    <t>05/12/2026</t>
  </si>
  <si>
    <t>OPS-174460 - Deka Dot (SN: UX8A44804R) - Dr. Michael Kim - MET Tech Aaron Butteri</t>
  </si>
  <si>
    <t>Joshua Downing (V)</t>
  </si>
  <si>
    <t>50501</t>
  </si>
  <si>
    <t>05/27/2026</t>
  </si>
  <si>
    <t>05/18/2026</t>
  </si>
  <si>
    <t>OPS-172308 - Luvo Lucent (SN: 9200E00062211) - Plastic Surgery Vegas - MET Tech Josh Downing</t>
  </si>
  <si>
    <t>Justin Sheydaei (V)</t>
  </si>
  <si>
    <t>34</t>
  </si>
  <si>
    <t>05/13/2026</t>
  </si>
  <si>
    <t>OPS-173153 - Candela Gentlemax Pro (SN: 9914-9035-5222) - Blush Enfield - MET Tech Justin Sheydaei</t>
  </si>
  <si>
    <t>Margarito Sanchez (V)</t>
  </si>
  <si>
    <t>485</t>
  </si>
  <si>
    <t>05/07/2026</t>
  </si>
  <si>
    <t>05/21/2026</t>
  </si>
  <si>
    <t>OPS-173333 - Lumenis M22 ResurFX (SN: 22189) - Novuskin Med Spa Frisco - MET Tech Margarito Sanchez</t>
  </si>
  <si>
    <t>Virginia Yearnd (V)</t>
  </si>
  <si>
    <t>50495</t>
  </si>
  <si>
    <t>05/15/2026</t>
  </si>
  <si>
    <t>05/29/2026</t>
  </si>
  <si>
    <t>OPS-174266 - Lumenis M22 (SN: 590) - Family First Health Clinic - MET Tech Ginger Yearnd</t>
  </si>
  <si>
    <t>50550</t>
  </si>
  <si>
    <t>OPS-174869 - Solta Fraxel Dual (SN: J1186) - Elite DErmatology &amp; Plastic Surgery - MET Tech Ginger Yearnd</t>
  </si>
  <si>
    <t>Alicia Schiller (V)</t>
  </si>
  <si>
    <t>Contractor - Training</t>
  </si>
  <si>
    <t>50146</t>
  </si>
  <si>
    <t>04/25/2026</t>
  </si>
  <si>
    <t>05/09/2026</t>
  </si>
  <si>
    <t>05/04/2026</t>
  </si>
  <si>
    <t>OPS-169603
Naples Skin Clinic MET onsite training for Lumenis Ultrapulse</t>
  </si>
  <si>
    <t>ANEWU Medical Spa, P.C</t>
  </si>
  <si>
    <t>916</t>
  </si>
  <si>
    <t>04/29/2026</t>
  </si>
  <si>
    <t>05/19/2026</t>
  </si>
  <si>
    <t>OPS-170587
Dermatology Associates MET Follow-up onsite training for Candela Vbeam Perfecta</t>
  </si>
  <si>
    <t>Christina (Cris) Brown (V)</t>
  </si>
  <si>
    <t>042426</t>
  </si>
  <si>
    <t>05/01/2026</t>
  </si>
  <si>
    <t>OPS-169748
Golden State Dermatology MET onsite training for Conbiio Revlite</t>
  </si>
  <si>
    <t>Marissa Martinez-Thiele (V)</t>
  </si>
  <si>
    <t>50361</t>
  </si>
  <si>
    <t>OPS-172078
GlamDerm MET onsite training for Lutronic eCO2</t>
  </si>
  <si>
    <t>Pamela Gery Aesthetics Consulting &amp; Training (V)</t>
  </si>
  <si>
    <t>20260430</t>
  </si>
  <si>
    <t>OPS-172635
Dyson Dermatology MET onsite training for Luvo Lucent</t>
  </si>
  <si>
    <t>Skin Ninja, LLC (V)</t>
  </si>
  <si>
    <t>50244</t>
  </si>
  <si>
    <t>OPS-171554
ImageLab Med Spa - Chicago MET 2-day onsite training for Luvo Lucent and Paradigm Multifrax</t>
  </si>
  <si>
    <t>Tracie Ullman</t>
  </si>
  <si>
    <t>20221001-1</t>
  </si>
  <si>
    <t>04/23/2026</t>
  </si>
  <si>
    <t>OPS-171547
DRIP Station DMV MET onsite training for Aerolase Lightpod Neo</t>
  </si>
  <si>
    <t>Contractor Checks Total</t>
  </si>
  <si>
    <t>Adam Beals (V)</t>
  </si>
  <si>
    <t>50498</t>
  </si>
  <si>
    <t>Wire</t>
  </si>
  <si>
    <t>OPS-174462 - Sciton Joule X (SN: 19026-26018) - Nuey Aesthetics - MET Tech Adam Beals</t>
  </si>
  <si>
    <t>50454</t>
  </si>
  <si>
    <t>OPS-174093 - Solta Fraxel Dual (SN: 001B84) - Chelsea Fidai - MET Tech Adam Beals</t>
  </si>
  <si>
    <t>50452</t>
  </si>
  <si>
    <t>05/05/2026</t>
  </si>
  <si>
    <t>OPS-173218 - Alma Harmony XL Pro (HXPO1974) - Idaho DErmatology - MET Tech Adam Beals</t>
  </si>
  <si>
    <t>50505</t>
  </si>
  <si>
    <t>OPS-174610 - Cutera Xeo (SN: XP13896) - Moon Beauty Bar - MET Tech Adam Beals</t>
  </si>
  <si>
    <t>50453</t>
  </si>
  <si>
    <t>OPS-173993 - Lumenis M22 (SN: 2818) - ShanthiMD - MET Tech Adam Beals</t>
  </si>
  <si>
    <t>50455</t>
  </si>
  <si>
    <t>05/25/2026</t>
  </si>
  <si>
    <t>OPS-173932 - Deka Smartxide Tetra (SN: M118C1‑UL221809) - Dr. Christopher Tomassian - MET Tech Adam Beals</t>
  </si>
  <si>
    <t>Contractor Wire</t>
  </si>
  <si>
    <t>Advanced Laser Servicing, LLC (V)</t>
  </si>
  <si>
    <t>1085</t>
  </si>
  <si>
    <t>Credit Card</t>
  </si>
  <si>
    <t>OPS-172547 - Candela VBeam Perfecta (SN: 9914-0300-4078) - MET tech Jesse Routh</t>
  </si>
  <si>
    <t>Biomedical Solutions (V)</t>
  </si>
  <si>
    <t>618</t>
  </si>
  <si>
    <t>OPS-173299 - Candela VBeam Perfecta (SN: 9914-0300-0042) - GS Derm Ygnacio - MET Tech Cory Ladd</t>
  </si>
  <si>
    <t>Kenneth Wayne Delgado (V)</t>
  </si>
  <si>
    <t>50504</t>
  </si>
  <si>
    <t>OPS-14707 - Cynosure Picosure (SN: PICO0296) - LaserSpa Tampa Bay - MET Tech Wayne Delgado</t>
  </si>
  <si>
    <t>Mr. Handyman of Arlington and NW Mansfield (V)</t>
  </si>
  <si>
    <t>131555</t>
  </si>
  <si>
    <t>OPS-173636 - Sciton Joule (SN: 15,093-06018) - Glo &amp; Glam Medspa - MET Tech Mr Handyman Arlington</t>
  </si>
  <si>
    <t>Laura Larrabee (V)</t>
  </si>
  <si>
    <t>1034</t>
  </si>
  <si>
    <t>OPS-173043
Dr. Michael Kim Facial Plastic Surgery MET onsite training for Deka Smartxide Dot</t>
  </si>
  <si>
    <t>Shelley Peptis</t>
  </si>
  <si>
    <t>0003</t>
  </si>
  <si>
    <t>05/06/2026</t>
  </si>
  <si>
    <t>05/20/2026</t>
  </si>
  <si>
    <t>OPS-172614
Annapolis Dermatology Center MET onsite training for Luvo Lucent</t>
  </si>
  <si>
    <t>Contractor Credit Cards</t>
  </si>
  <si>
    <t>Contractor Total</t>
  </si>
  <si>
    <t>Mark Kosiba</t>
  </si>
  <si>
    <t>Employee Reimbursements</t>
  </si>
  <si>
    <t>Feb/Mar26</t>
  </si>
  <si>
    <t>03/23/2026</t>
  </si>
  <si>
    <t>04/06/2026</t>
  </si>
  <si>
    <t>Feb 16 - Mar 17, 2026</t>
  </si>
  <si>
    <t>Apr2026</t>
  </si>
  <si>
    <t>05/30/2026</t>
  </si>
  <si>
    <t>Mar 18 - Apr 19, 2026</t>
  </si>
  <si>
    <t>CEVA Logistics (V)</t>
  </si>
  <si>
    <t>Freight</t>
  </si>
  <si>
    <t>F260928718</t>
  </si>
  <si>
    <t>Allen - MS List</t>
  </si>
  <si>
    <t>Inbound Shipping - Bluecore (5) Lasya Trinity
- Freight, Handling, &amp; Duties
SN: BCLTCQ0ATD / BCLTCQ0APD / BCLTCQ0AQD / BCLTCQ0ARD / BCLTCQ0ASD</t>
  </si>
  <si>
    <t>Kings Cargo Logistics, Inc (V)</t>
  </si>
  <si>
    <t>1471</t>
  </si>
  <si>
    <t>04/10/2026</t>
  </si>
  <si>
    <t>05/10/2026</t>
  </si>
  <si>
    <t>4/1/26_CAN_NC_Loop_Aleks</t>
  </si>
  <si>
    <t>1475</t>
  </si>
  <si>
    <t>04/15/2026</t>
  </si>
  <si>
    <t>4/15/26_CANADA_Alex</t>
  </si>
  <si>
    <t>1474</t>
  </si>
  <si>
    <t>4/15/26_SE_Loop_Gabriel</t>
  </si>
  <si>
    <t>1476</t>
  </si>
  <si>
    <t>04/13/2026</t>
  </si>
  <si>
    <t>05/28/2026</t>
  </si>
  <si>
    <t>4/13/26_NE_Loop_Pedro</t>
  </si>
  <si>
    <t>Traffic Tech International (V)</t>
  </si>
  <si>
    <t>11900193518</t>
  </si>
  <si>
    <t>Inbound Shipping - Bluecore (2) ZenPro40
- Bluecore Commercial Invoice: BI260326-001N
SHP00317510</t>
  </si>
  <si>
    <t>11900192882</t>
  </si>
  <si>
    <t>OPS-167605 Service-Billable Clinique Face MD - CO2RE</t>
  </si>
  <si>
    <t>11900192258</t>
  </si>
  <si>
    <t>05/23/2026</t>
  </si>
  <si>
    <t>Inbound Shipping
- Bluecore</t>
  </si>
  <si>
    <t>11900193649</t>
  </si>
  <si>
    <t>Inbound Shipping
- Luvo</t>
  </si>
  <si>
    <t>SAP Concur (V)</t>
  </si>
  <si>
    <t>Information Technology</t>
  </si>
  <si>
    <t>101600352250</t>
  </si>
  <si>
    <t>Concur Platform
- Service Period: 01-Mar-25 to 30-Mar-25</t>
  </si>
  <si>
    <t>StrataTech Solution (V)</t>
  </si>
  <si>
    <t>1655</t>
  </si>
  <si>
    <t>Stratatech - MS365 and Site Maintenance -[04/01/2026 - 04/30/2026]</t>
  </si>
  <si>
    <t>VLCM</t>
  </si>
  <si>
    <t>IN171902</t>
  </si>
  <si>
    <t>03/10/2026</t>
  </si>
  <si>
    <t>04/09/2026</t>
  </si>
  <si>
    <t>Robby - Email</t>
  </si>
  <si>
    <t>OPS-156968 Verkada 1-Year License: Doors, Cameras, Cloud Storage</t>
  </si>
  <si>
    <t>Polsinelli PC (V)</t>
  </si>
  <si>
    <t>Legal</t>
  </si>
  <si>
    <t>2786138</t>
  </si>
  <si>
    <t>03/19/2026</t>
  </si>
  <si>
    <t>04/18/2026</t>
  </si>
  <si>
    <t>No</t>
  </si>
  <si>
    <t>Professional Services through February 28, 2026
General Corporate</t>
  </si>
  <si>
    <t>2805625</t>
  </si>
  <si>
    <t>03/31/2026</t>
  </si>
  <si>
    <t>05/24/2026</t>
  </si>
  <si>
    <t>Professional Services through March 31, 2026
Koop Litigation</t>
  </si>
  <si>
    <t>2786139</t>
  </si>
  <si>
    <t>Professional Services through February 28, 2026
Koop Litigation</t>
  </si>
  <si>
    <t>Venture Legal Advisors, PLLC (V)</t>
  </si>
  <si>
    <t>10043</t>
  </si>
  <si>
    <t>General Matters Services through 04/30/2026
5.5 total hours</t>
  </si>
  <si>
    <t>10032</t>
  </si>
  <si>
    <t>General Matters Services through 03/31/2026
12.2 total hours</t>
  </si>
  <si>
    <t>Wilson Sonsini (V)</t>
  </si>
  <si>
    <t>3068417</t>
  </si>
  <si>
    <t>02/01/2026</t>
  </si>
  <si>
    <t>03/26/2026</t>
  </si>
  <si>
    <t>Dispute with Karla Pivik and Juniper Dermatology 
1/05/2026-01/30/2026
31.1 billable hours</t>
  </si>
  <si>
    <t>3078129</t>
  </si>
  <si>
    <t>03/01/2026</t>
  </si>
  <si>
    <t>04/20/2026</t>
  </si>
  <si>
    <t>General Corporate
2/19-2/25/20026
3.6 billable hours</t>
  </si>
  <si>
    <t>Parker Hannifin Corporation (V)</t>
  </si>
  <si>
    <t>Manufacturer / Distributor Product Purchases</t>
  </si>
  <si>
    <t>4785733</t>
  </si>
  <si>
    <t>02/20/2026</t>
  </si>
  <si>
    <t>04/02/2026</t>
  </si>
  <si>
    <t>02/12/2026</t>
  </si>
  <si>
    <t>03/02/2026</t>
  </si>
  <si>
    <t>Porter (5) Nitronox Plus
SN: NXP7-2465 / NXP7-2466 / NXP7-2464 / NXP7-2456 / NXP7-2462</t>
  </si>
  <si>
    <t>4787772</t>
  </si>
  <si>
    <t>03/17/2026</t>
  </si>
  <si>
    <t>03/24/2026</t>
  </si>
  <si>
    <t>OPS- OPS-168608 Disposable Mouthpiece - 61988000 (100)</t>
  </si>
  <si>
    <t>Medical Insight (V)</t>
  </si>
  <si>
    <t>Marketing</t>
  </si>
  <si>
    <t>D1366-4</t>
  </si>
  <si>
    <t>06/01/2026</t>
  </si>
  <si>
    <t>SPC - Signature</t>
  </si>
  <si>
    <t>Comprehensive Strategic Media Plan
Work and service Deliverables:
3 Custom Feature Length News articles ($12000)
6 Banner Ads in Aesthetic Insights ($6000)
6 Social Media Posts ($6000)
1 Dedicated Digital Supplement ($25000)
AIA Sponsorship - Platinum Level (list price $25000)
Ecast Package (12 Ecasts) ($48000)
Complimentary Podcast ($10,000 value)</t>
  </si>
  <si>
    <t>Salesforce, Inc.</t>
  </si>
  <si>
    <t>36319648</t>
  </si>
  <si>
    <t>01/02/2026</t>
  </si>
  <si>
    <t>Service Dates: 2/1/2026 - 7/31/2026
- Contract Number: 03952048</t>
  </si>
  <si>
    <t>CONMED Corporation (V)</t>
  </si>
  <si>
    <t>New Device Purchases</t>
  </si>
  <si>
    <t>11309749</t>
  </si>
  <si>
    <t>OPS-173557 - Dermatology LTD / Nick Guido - VV120 Dropship</t>
  </si>
  <si>
    <t>11309847</t>
  </si>
  <si>
    <t>11304158</t>
  </si>
  <si>
    <t>OPS-173053 - 20991543 - VSXLLT02 - 2/CA-VIROSAFE XLL TWIN FLTRS</t>
  </si>
  <si>
    <t>11310581</t>
  </si>
  <si>
    <t>05/31/2026</t>
  </si>
  <si>
    <t>Logitech, Inc.</t>
  </si>
  <si>
    <t>Occupancy</t>
  </si>
  <si>
    <t>June 2026 Rent Jaybird</t>
  </si>
  <si>
    <t>ProServe Property Maintenance (V)</t>
  </si>
  <si>
    <t>1288</t>
  </si>
  <si>
    <t>SPC - NSPO</t>
  </si>
  <si>
    <t>OPS-168293 Air line, hoses, valves, air dryer and fittings for paint booth</t>
  </si>
  <si>
    <t>1289</t>
  </si>
  <si>
    <t>04/17/2026</t>
  </si>
  <si>
    <t>OPS-166247 Facilities repairs: Jaybird restrooms, Jaybird kitchen</t>
  </si>
  <si>
    <t>Rocky Mountain Power (V)</t>
  </si>
  <si>
    <t>33413499 04.26</t>
  </si>
  <si>
    <t>Joe - MS List</t>
  </si>
  <si>
    <t>Electric Service 2700 Rasmussen Rd Uppr
- Service Period: Apr 6 - May 5, 2026</t>
  </si>
  <si>
    <t>57564952 04.26</t>
  </si>
  <si>
    <t>06/02/2026</t>
  </si>
  <si>
    <t>Electric Service 2720 &amp; 2750 Rasmussen Rd
-Service Period: Apr 6 - May 5, 2026</t>
  </si>
  <si>
    <t>Summit Center Owners, LLC (V)</t>
  </si>
  <si>
    <t>June 2026 - Rent and CAM</t>
  </si>
  <si>
    <t>2026-2841</t>
  </si>
  <si>
    <t>Utility Reimbursement for Gas - April 9, 2026 - May 7, 2026
2720 Rasmussen Road</t>
  </si>
  <si>
    <t>Superior Water &amp; Air, LLC (V)</t>
  </si>
  <si>
    <t>654997268</t>
  </si>
  <si>
    <t>Billing for commercial rental agreement
- Job Address: 2720 RASMUSSEN RD</t>
  </si>
  <si>
    <t>654997497</t>
  </si>
  <si>
    <t>Billing for commercial rental agreement
- Job Address: 2700 RASMUSSEN RD</t>
  </si>
  <si>
    <t>COMCAST (V)</t>
  </si>
  <si>
    <t>Other Operating Expenses</t>
  </si>
  <si>
    <t>001004052149</t>
  </si>
  <si>
    <t>Internet Service 2700 Rasmussen Rd
- Service Period: May 01, 2026 to May 31, 2026</t>
  </si>
  <si>
    <t>001004087958</t>
  </si>
  <si>
    <t>Internet service 2720 &amp; 2750 Rasmussen Rd
- Service Period: May 01, 2026 to May 31, 2026</t>
  </si>
  <si>
    <t>Copiers Utah (V)</t>
  </si>
  <si>
    <t>32636</t>
  </si>
  <si>
    <t>06/03/2026</t>
  </si>
  <si>
    <t>Monthly Service Agreement &amp; Long Term Rental</t>
  </si>
  <si>
    <t>RingCentral (V)</t>
  </si>
  <si>
    <t>CD_001421887</t>
  </si>
  <si>
    <t>Subscription &amp; Hardware Rental
Period: 4/27/2026 - 5/27/2026</t>
  </si>
  <si>
    <t>Seamless Sign Services (V)</t>
  </si>
  <si>
    <t>2297</t>
  </si>
  <si>
    <t>OPS-170796 - Late fee</t>
  </si>
  <si>
    <t>DermFx (V)</t>
  </si>
  <si>
    <t>Parts &amp; Products</t>
  </si>
  <si>
    <t>INV-49883-01</t>
  </si>
  <si>
    <t>03/04/2026</t>
  </si>
  <si>
    <t>OPS-167637 - Intracel Tips
Received: 3/10/2026</t>
  </si>
  <si>
    <t>Directed Light, Inc. (V)</t>
  </si>
  <si>
    <t>171101</t>
  </si>
  <si>
    <t>OPS-173110 - LMP-20357 Lamp, Palomar, Lux, Icon/MaxG 500</t>
  </si>
  <si>
    <t>Hi-Valley Chemical</t>
  </si>
  <si>
    <t>34485</t>
  </si>
  <si>
    <t>04/01/2026</t>
  </si>
  <si>
    <t>03/20/2026</t>
  </si>
  <si>
    <t>OPS-169190 - Alcohol re-order for biomed</t>
  </si>
  <si>
    <t>Laservision USA (V)</t>
  </si>
  <si>
    <t>IN26-04345</t>
  </si>
  <si>
    <t>04/22/2026</t>
  </si>
  <si>
    <t>OPS-172533 - Jamie kohl / WellCulture Medspa - IPL disposable eye shields</t>
  </si>
  <si>
    <t>SIMCO Electronics (V)</t>
  </si>
  <si>
    <t>N1249898</t>
  </si>
  <si>
    <t>02/26/2026</t>
  </si>
  <si>
    <t>OPS-154999 - Ophir Devices for Recalibration</t>
  </si>
  <si>
    <t>N1240319-LP</t>
  </si>
  <si>
    <t>Late fee on invoice N1240319</t>
  </si>
  <si>
    <t>N1248155</t>
  </si>
  <si>
    <t>04/16/2026</t>
  </si>
  <si>
    <t>05/16/2026</t>
  </si>
  <si>
    <t>04/08/2026</t>
  </si>
  <si>
    <t>OPS-171686 - Simco Power Meters / Detectors for recalibration</t>
  </si>
  <si>
    <t>Checks</t>
  </si>
  <si>
    <t>Desirea Warino (V)</t>
  </si>
  <si>
    <t>Pre-owned Device Purchases</t>
  </si>
  <si>
    <t>49857</t>
  </si>
  <si>
    <t>Morpheus8 Inspections in progress
OPS-166123 - InMode Morpheus8 Applicator
OPS-166125 - InMode Morpheus8 Body
OPS-166127 - Venus Concept Legacy Octopolar HP
OPS-166129 - Venus Legacy 4D Face Applicator
OPS-166131 - Venus Legacy LF1 AS100007
OPS-166133 - Venus Legacy Body LB2 AS100005</t>
  </si>
  <si>
    <t>JW Capital Partners (V)</t>
  </si>
  <si>
    <t>50308</t>
  </si>
  <si>
    <t>UNDER INSPECTION
OPS-172271 - Cynosure Elite iQ (SN: RL1C1803B)</t>
  </si>
  <si>
    <t>Sand Lake Dermatology (V)</t>
  </si>
  <si>
    <t>49695</t>
  </si>
  <si>
    <t>SPC - Email</t>
  </si>
  <si>
    <t>OPS-164239 - Jeisys Edge ONE (SN: EDIG22204)
Received: 2/17/2026
SOLD</t>
  </si>
  <si>
    <t>SpaDerma (V)</t>
  </si>
  <si>
    <t>49880</t>
  </si>
  <si>
    <t>OPS-166532 - Lumenis Lightsheer Desire (SN: 4646)
OPS-166535 - Lumenis Lightsheer Desire (SN: 4237)
OPS-166543 - Lumenis Lightsheer Desire (SN: 4432)
OPS-166546 - Lumenis Lightsheer Desire (SN: 4552)
OPS-166555 - Lumenis Lightsheer Desire (SN: 4540)
OPS-166558 - Lumenis Lightsheer Duet
OPS-166561 - Luemnis Lightsheer Quattro
OPS-166564 - Lumenis Lightsheer Quattro
OPS-166567 - Lumenis Lightsheer Quattro
OPS-166570 - Lumenis Lightsheer Quattro
OPS-166573 - Lumenis Lightsheer Quattro
OPS-166576 - Lumenis Lightsheer Quattro
OPS-166578 - Lumenis Lightsheer Quattro
OPS-166584 - Lumenis Lightsheer Handpiece</t>
  </si>
  <si>
    <t>Buys</t>
  </si>
  <si>
    <t>Pryor Health (V)</t>
  </si>
  <si>
    <t>Refunds</t>
  </si>
  <si>
    <t>OPS-158423 Deposit Refund</t>
  </si>
  <si>
    <t>Tulsa Surgical Arts (V)</t>
  </si>
  <si>
    <t>Refund for returned Luvo Bela MD+ &amp; Edge HydraFacial MD Elite</t>
  </si>
  <si>
    <t>Dermatology Center of the East Bay (V)</t>
  </si>
  <si>
    <t>Reimbursement</t>
  </si>
  <si>
    <t>49285</t>
  </si>
  <si>
    <t>Reimbursement - Power Installation</t>
  </si>
  <si>
    <t>Millennium Skin and Laser (V)</t>
  </si>
  <si>
    <t>52506</t>
  </si>
  <si>
    <t>Customer Reimbursement - Aerolase 10mm Lens - Invoice 52506</t>
  </si>
  <si>
    <t>Haus of Confidence (V)</t>
  </si>
  <si>
    <t>OPS-114646 Returned Paradigm Medical MultiFrax - Invoice 42986</t>
  </si>
  <si>
    <t>OPS-119191 Refund for Hologic DXA Horizon</t>
  </si>
  <si>
    <t>Laser &amp; Skin Surgery Center of Northern California (V)</t>
  </si>
  <si>
    <t>OPS-163225 Refund for return of Candela Alex TriVantage</t>
  </si>
  <si>
    <t>Refunds/Reimbursements</t>
  </si>
  <si>
    <t>Bor Logistics, Inc. (V)</t>
  </si>
  <si>
    <t>2720-1012</t>
  </si>
  <si>
    <t>5/02/26_NE_Loop_Robert</t>
  </si>
  <si>
    <t>Harmonia Med Trans (V)</t>
  </si>
  <si>
    <t>2720-1224</t>
  </si>
  <si>
    <t>5/02/26_WC_Loop_Armen</t>
  </si>
  <si>
    <t>Uline Shipping and Supply Specialists (V)</t>
  </si>
  <si>
    <t>207453031</t>
  </si>
  <si>
    <t>Shipping supplies 4/30/26</t>
  </si>
  <si>
    <t>207356191</t>
  </si>
  <si>
    <t>Shipping supplies 4/28/26</t>
  </si>
  <si>
    <t>UPS Capital Insurance Agency, Inc. (V)</t>
  </si>
  <si>
    <t>2445873</t>
  </si>
  <si>
    <t>InsureShield™ Shipping Insurance
- Policy Number: 15914024-P0003871-7
- Policy Period: 04/05/2026 to 04/05/2027</t>
  </si>
  <si>
    <t>UPS (V)</t>
  </si>
  <si>
    <t>2154422987</t>
  </si>
  <si>
    <t>Late fee</t>
  </si>
  <si>
    <t>2144775508</t>
  </si>
  <si>
    <t>International Package Services Invoice
- RTS</t>
  </si>
  <si>
    <t>000069E21W196</t>
  </si>
  <si>
    <t>Customer Acquisition 4/29-5/6/26</t>
  </si>
  <si>
    <t>2146165548</t>
  </si>
  <si>
    <t>05/17/2026</t>
  </si>
  <si>
    <t>International Package Services Invoice
- Customs duty and/or VAT imposed on your shipment</t>
  </si>
  <si>
    <t>2147093981</t>
  </si>
  <si>
    <t>International Package Services Invoice
- Outbound Shipping</t>
  </si>
  <si>
    <t>2156384631</t>
  </si>
  <si>
    <t>International Package Services Invoice
- Dropship Handpiece (part of device buy)</t>
  </si>
  <si>
    <t>00004E6855196</t>
  </si>
  <si>
    <t>Weekly Shipping 4/27-5/6/2026</t>
  </si>
  <si>
    <t>2150410621</t>
  </si>
  <si>
    <t>International Package Services Invoice
- Inbound Shipping Service Billable</t>
  </si>
  <si>
    <t>000069E21W2026</t>
  </si>
  <si>
    <t>Customer Acquisition 5/6-5/15/2026</t>
  </si>
  <si>
    <t>2151554019</t>
  </si>
  <si>
    <t>International Package Services Invoice
- Customs Duty and/or VAT Imposed on your shipment</t>
  </si>
  <si>
    <t>00004E6855206</t>
  </si>
  <si>
    <t>Weekly Shipping 5/7-5/16/2026</t>
  </si>
  <si>
    <t>2152362760</t>
  </si>
  <si>
    <t>2154252732</t>
  </si>
  <si>
    <t>05/26/2026</t>
  </si>
  <si>
    <t>2154044627</t>
  </si>
  <si>
    <t>Iron Mountain Shredding (V)</t>
  </si>
  <si>
    <t>LGTC308</t>
  </si>
  <si>
    <t>Shredding Services
-Service Period: 3/25/26-4/21/26</t>
  </si>
  <si>
    <t>Credit Cards</t>
  </si>
  <si>
    <t>Decathlon Alpha IV, L.P.</t>
  </si>
  <si>
    <t>Capital / Balance Sheet Transactions</t>
  </si>
  <si>
    <t>4-2026-0503</t>
  </si>
  <si>
    <t>Transaction Costs Related to Second Amendment</t>
  </si>
  <si>
    <t>Marilyn Carson</t>
  </si>
  <si>
    <t>FF&amp;E</t>
  </si>
  <si>
    <t>ACH</t>
  </si>
  <si>
    <t>Kona Purchase</t>
  </si>
  <si>
    <t>Beijing Sincoheren, S&amp;T Development Co., LTD (V)</t>
  </si>
  <si>
    <t>XKYR0512512014</t>
  </si>
  <si>
    <t>01/15/2026</t>
  </si>
  <si>
    <t>Perigee (10) QS
SN: 1A092602004 / 1A092602005 / 1A092602006 / 1A092602007 / 1A092602008</t>
  </si>
  <si>
    <t>XKYR0512511014</t>
  </si>
  <si>
    <t>03/11/2026</t>
  </si>
  <si>
    <t>12/17/2025</t>
  </si>
  <si>
    <t>OPS-151791 - Perigee Co2 Air Tube &amp; Connector</t>
  </si>
  <si>
    <t>XKYR0512605012</t>
  </si>
  <si>
    <t>OPS-175118 - MRP QS 585nm</t>
  </si>
  <si>
    <t>BLUECORE COMPANY Co., Ltd. (V)</t>
  </si>
  <si>
    <t>BPI260324-001PP</t>
  </si>
  <si>
    <t>Bluecore (7) ZenPro40 
1st Payment was10% of total balance due - all items.
2nd payment is 90% of on ZenPro for $8550.00
Payment due in full before delivery</t>
  </si>
  <si>
    <t>Quanta System S.p.A. (V)</t>
  </si>
  <si>
    <t>12/29/2025</t>
  </si>
  <si>
    <t>Quanta System (5) Echo</t>
  </si>
  <si>
    <t>Pinnacle Laser Services (V)</t>
  </si>
  <si>
    <t>Bi-weekly installment</t>
  </si>
  <si>
    <t>Park Meadows Country Club</t>
  </si>
  <si>
    <t>Feb2026</t>
  </si>
  <si>
    <t>02/28/2026</t>
  </si>
  <si>
    <t>February 2026 Meals and fees</t>
  </si>
  <si>
    <t>Mar2026</t>
  </si>
  <si>
    <t>March 2026 Meals and fees</t>
  </si>
  <si>
    <t>Jan 2026</t>
  </si>
  <si>
    <t>01/31/2026</t>
  </si>
  <si>
    <t>January 2026 Meals and fees and January 16 company event</t>
  </si>
  <si>
    <t>April2026</t>
  </si>
  <si>
    <t>Medico USA Inc (V)</t>
  </si>
  <si>
    <t>MRP-026</t>
  </si>
  <si>
    <t>03/18/2026</t>
  </si>
  <si>
    <t>OPS-167828 - (10) IntraCell needle (RF needle one box : 10pcs)</t>
  </si>
  <si>
    <t>6900002655</t>
  </si>
  <si>
    <t>OPS-151673 - (2) ADDITIONAL SERIAL CABLE COM1-2 QUANNMAX</t>
  </si>
  <si>
    <t>ZOS 12011998</t>
  </si>
  <si>
    <t>PAYMENT DUE BEFORE SHIPMENT
OPS-175750 - CBQ000049.00 - Coolant for Echo Devices 2 liter bottle</t>
  </si>
  <si>
    <t>Alexa Shterengarts (V)</t>
  </si>
  <si>
    <t>OPS-174841 - Cutera (8) Secret RF Tip</t>
  </si>
  <si>
    <t>ACH/Wire</t>
  </si>
  <si>
    <t>TOTAL</t>
  </si>
  <si>
    <t xml:space="preserve">                                                </t>
  </si>
  <si>
    <t>Receipt/Delivery</t>
  </si>
  <si>
    <t>Due status</t>
  </si>
  <si>
    <t>Bill type</t>
  </si>
  <si>
    <t>Bill Status</t>
  </si>
  <si>
    <t>Payment Status</t>
  </si>
  <si>
    <t>Candela Corporation (V)</t>
  </si>
  <si>
    <t>20196130</t>
  </si>
  <si>
    <t>07/11/2024</t>
  </si>
  <si>
    <t>06/30/2026</t>
  </si>
  <si>
    <t>OPS-91955 Invoice 20196130
Product received on 7/11 - moved invoice date in QBO to that date.</t>
  </si>
  <si>
    <t>05/15/2027</t>
  </si>
  <si>
    <t>Decathlon May Loan Payment</t>
  </si>
  <si>
    <t>06/15/2027</t>
  </si>
  <si>
    <t>Decathlon June Loan Payment</t>
  </si>
  <si>
    <t>09/01/2026</t>
  </si>
  <si>
    <t>09/15/2026</t>
  </si>
  <si>
    <t>Decathlon September Loan Payment</t>
  </si>
  <si>
    <t>08/03/2026</t>
  </si>
  <si>
    <t>08/15/2026</t>
  </si>
  <si>
    <t>Decathlon August Loan Payment</t>
  </si>
  <si>
    <t>07/06/2026</t>
  </si>
  <si>
    <t>07/15/2026</t>
  </si>
  <si>
    <t>Decathlon July Loan Payment</t>
  </si>
  <si>
    <t>11/15/2026</t>
  </si>
  <si>
    <t>Decathlon November Loan Payment</t>
  </si>
  <si>
    <t>06/15/2026</t>
  </si>
  <si>
    <t>12/15/2026</t>
  </si>
  <si>
    <t>Decathlon December Loan Payment</t>
  </si>
  <si>
    <t>01/15/2027</t>
  </si>
  <si>
    <t>Decathlon January Loan Payment</t>
  </si>
  <si>
    <t>02/15/2027</t>
  </si>
  <si>
    <t>Decathlon February Loan Payment</t>
  </si>
  <si>
    <t>03/15/2027</t>
  </si>
  <si>
    <t>Decathlon March Loan Payment</t>
  </si>
  <si>
    <t>04/15/2027</t>
  </si>
  <si>
    <t>Decathlon April Loan Payment</t>
  </si>
  <si>
    <t>10/05/2026</t>
  </si>
  <si>
    <t>10/15/2026</t>
  </si>
  <si>
    <t>Decathlon October Loan Payment</t>
  </si>
  <si>
    <t>1833</t>
  </si>
  <si>
    <t>11/17/2019</t>
  </si>
  <si>
    <t>PUR-771 SPC - Poblete Dermatology - Palomar Starlux 300 w/ 3 HP BIO 2553 - Eric Olsen reset Y HP to work with 300 system.  Reset shots on Lux G and Lux Rs.</t>
  </si>
  <si>
    <t>Pinnacle</t>
  </si>
  <si>
    <t>Approved Previously - Wire held by SPC</t>
  </si>
  <si>
    <t>1895</t>
  </si>
  <si>
    <t>04/17/2021</t>
  </si>
  <si>
    <t>PUR-2188  and Multiple PO's</t>
  </si>
  <si>
    <t>2396</t>
  </si>
  <si>
    <t>02/08/2023</t>
  </si>
  <si>
    <t>OPS-37972 Socet Lasers / Michal Kieryk
OPS-38368 Preprogrammed Alma Harmony XL PRO Dye-VL iButton (memory DS1977-F5)</t>
  </si>
  <si>
    <t>1972</t>
  </si>
  <si>
    <t>06/07/2021</t>
  </si>
  <si>
    <t>PUR-2364 and Multiple PO's</t>
  </si>
  <si>
    <t>1836</t>
  </si>
  <si>
    <t>12/12/2019</t>
  </si>
  <si>
    <t>PUR-782 JE Aesthetics /SPC- Cutera Xeo Platform needs new display control board programed for the hp's needed</t>
  </si>
  <si>
    <t>1959</t>
  </si>
  <si>
    <t>05/12/2021</t>
  </si>
  <si>
    <t>PUR-2229 and Multiple PO's</t>
  </si>
  <si>
    <t>1890</t>
  </si>
  <si>
    <t>03/03/2021</t>
  </si>
  <si>
    <t>PUR-2073 See multiple PO's</t>
  </si>
  <si>
    <t>1889</t>
  </si>
  <si>
    <t>PUR-1965 PUR-2011 PUR-1948 and BIO-4435</t>
  </si>
  <si>
    <t>Fred Ondris (V)</t>
  </si>
  <si>
    <t>ORG-2026-001</t>
  </si>
  <si>
    <t>SPC - Pur Board</t>
  </si>
  <si>
    <t>W9 NEEDED BEFORE PAYMENT
Referral Fee - OPS 173775 - Ellicott City - Emsella
Delivered 05/06/26</t>
  </si>
  <si>
    <t>50295</t>
  </si>
  <si>
    <t>OPS-171889
Valencia Beauty Spa MET onsite training for Rohrer Pixel8</t>
  </si>
  <si>
    <t>050926</t>
  </si>
  <si>
    <t>OPS-174012
Lux Veritae Skin Spa MET onsite training for Perigee QS</t>
  </si>
  <si>
    <t>Danielle Zamora (V)</t>
  </si>
  <si>
    <t>50541</t>
  </si>
  <si>
    <t>OPS-174876 
Health Now Multifrax Onsite MET Training</t>
  </si>
  <si>
    <t>Jimeno Consulting (V)</t>
  </si>
  <si>
    <t>26-018</t>
  </si>
  <si>
    <t>OPS-168551 - MET Trainer - Cynosure Smartskin+ Texas Dermatology and Facial Plastics (04/14/26)</t>
  </si>
  <si>
    <t>1035</t>
  </si>
  <si>
    <t>OPS-174330
Dr. Michael Kim Facial Plastic Surgery MET Onsite Follow-up Training for Deka Dot</t>
  </si>
  <si>
    <t>50388</t>
  </si>
  <si>
    <t>OPS-173227
Elcin Aesthetics MET onsite training for Cutera Secret Pro</t>
  </si>
  <si>
    <t>Morgan Bowlin (V)</t>
  </si>
  <si>
    <t>05152026</t>
  </si>
  <si>
    <t>OPS-174452
Souljah Spa 
Invisa-Red Elite</t>
  </si>
  <si>
    <t>The Pearl Collective, LLC (V)</t>
  </si>
  <si>
    <t>MRP16</t>
  </si>
  <si>
    <t>OPS-169878
La ViE MD - Dublin, CA MET onsite training for Lutronic Clarity II</t>
  </si>
  <si>
    <t>Milton A. Oliva Gonzalez</t>
  </si>
  <si>
    <t>bi-weekly payroll for Milton Gonzalez</t>
  </si>
  <si>
    <t>Next Week</t>
  </si>
  <si>
    <t>08/05/2026</t>
  </si>
  <si>
    <t>06/10/2026</t>
  </si>
  <si>
    <t>06/24/2026</t>
  </si>
  <si>
    <t>07/08/2026</t>
  </si>
  <si>
    <t>07/22/2026</t>
  </si>
  <si>
    <t>08/19/2026</t>
  </si>
  <si>
    <t>09/02/2026</t>
  </si>
  <si>
    <t>09/16/2026</t>
  </si>
  <si>
    <t>09/30/2026</t>
  </si>
  <si>
    <t>10/14/2026</t>
  </si>
  <si>
    <t>10/28/2026</t>
  </si>
  <si>
    <t>11/11/2026</t>
  </si>
  <si>
    <t>11/25/2026</t>
  </si>
  <si>
    <t>12/09/2026</t>
  </si>
  <si>
    <t>12/23/2026</t>
  </si>
  <si>
    <t>F260928717</t>
  </si>
  <si>
    <t>06/04/2026</t>
  </si>
  <si>
    <t>1480</t>
  </si>
  <si>
    <t>06/11/2026</t>
  </si>
  <si>
    <t>5/08/26_NE_IB_Dave</t>
  </si>
  <si>
    <t>1481</t>
  </si>
  <si>
    <t>06/12/2026</t>
  </si>
  <si>
    <t>5/08/26_WC_Pedro</t>
  </si>
  <si>
    <t>1479</t>
  </si>
  <si>
    <t>4/28/26_ NE_Loop_Noe</t>
  </si>
  <si>
    <t>1478</t>
  </si>
  <si>
    <t>06/09/2026</t>
  </si>
  <si>
    <t>4/30/26_WC_Loop_Pedro</t>
  </si>
  <si>
    <t>11900190449</t>
  </si>
  <si>
    <t>OPS-162280 Inbound Shipping Pre-owned device</t>
  </si>
  <si>
    <t>11900196655</t>
  </si>
  <si>
    <t>06/18/2026</t>
  </si>
  <si>
    <t>OPS-169335 Bluecore (1) ZenPro40 SN: BCZFCQ0ALD</t>
  </si>
  <si>
    <t>207622776</t>
  </si>
  <si>
    <t>Shipping supplies 5/5/26</t>
  </si>
  <si>
    <t>207931259</t>
  </si>
  <si>
    <t>Shipping Supplies 5/12/26</t>
  </si>
  <si>
    <t>208188872</t>
  </si>
  <si>
    <t>06/17/2026</t>
  </si>
  <si>
    <t>OPS-175801 Shipping supplies 5/18/26</t>
  </si>
  <si>
    <t>3089052</t>
  </si>
  <si>
    <t>06/14/2026</t>
  </si>
  <si>
    <t>Dispute with Jeisys Medical
3/04.2026-3/27/2026
8.7 billable hours</t>
  </si>
  <si>
    <t>3089051</t>
  </si>
  <si>
    <t>Skinfuzion Breach of Contract
3/11/2026
.3 billable hours</t>
  </si>
  <si>
    <t>3089050</t>
  </si>
  <si>
    <t>Dispute with Karla Pivik and Juniper Dermatology 
03/12/26-3/31/26
7.5 billable hours</t>
  </si>
  <si>
    <t>3076640</t>
  </si>
  <si>
    <t>Dsipute with Jeisys Medical
2/03/2026-2/25/2026
17.6 billable hours</t>
  </si>
  <si>
    <t>3076639</t>
  </si>
  <si>
    <t>Skinfuzion Breach of Contract
2/04/2026-2/24/2026
33.7 billable hours</t>
  </si>
  <si>
    <t>3076638</t>
  </si>
  <si>
    <t>Dispute with Karla Pivik and Juniper Dermatology 
02/02/26-02/24/26
12.4 billable hours</t>
  </si>
  <si>
    <t>3100420</t>
  </si>
  <si>
    <t>Dispute with Karla Pivik and Juniper Dermatology 
04/03/26-4/30/26
12.8 billable hours</t>
  </si>
  <si>
    <t>3100421</t>
  </si>
  <si>
    <t>Dispute with Jeisys Medical
4/01/2026-4/30/2026
62.5 billable hours</t>
  </si>
  <si>
    <t>Luvo Medical Technologies</t>
  </si>
  <si>
    <t>ILM004253_24</t>
  </si>
  <si>
    <t>Luvo (1) Bela MD+
SN: 2281E00592410</t>
  </si>
  <si>
    <t>Luvo</t>
  </si>
  <si>
    <t>ILM004253_25</t>
  </si>
  <si>
    <t>Luvo (1) Bela MD+
SN: 2281E00622410</t>
  </si>
  <si>
    <t>ILM004253_22</t>
  </si>
  <si>
    <t>Luvo (1) Bela MD+
SN: 2281E00792410</t>
  </si>
  <si>
    <t>ILM004253_21</t>
  </si>
  <si>
    <t>Luvo (1) Bela MD+
SN: 2281E00852410</t>
  </si>
  <si>
    <t>ILM004253_20</t>
  </si>
  <si>
    <t>Luvo (1) Bela MD+
SN: 2281E00652410</t>
  </si>
  <si>
    <t>ILM004884_3</t>
  </si>
  <si>
    <t>Luvo (0.9) Darwin RF Needle Handpiece
SN: I5DN001</t>
  </si>
  <si>
    <t>Hydrafacial III</t>
  </si>
  <si>
    <t>07/07/2026</t>
  </si>
  <si>
    <t>Payment on Hydrafacial accrual</t>
  </si>
  <si>
    <t>ILM004884_2</t>
  </si>
  <si>
    <t>Luvo (0.9) Darwin RF Needle Handpiece
SN: I3CN005</t>
  </si>
  <si>
    <t>ILM004884_1</t>
  </si>
  <si>
    <t>Luvo (0.9) Darwin Diode Handpiece
SN: I4AL007</t>
  </si>
  <si>
    <t>ILM004883_1</t>
  </si>
  <si>
    <t>Luvo (0.9) Darwin RF Needle Handpiece
- SN: I4CN002</t>
  </si>
  <si>
    <t>ILM003735_21</t>
  </si>
  <si>
    <t>01/01/2026</t>
  </si>
  <si>
    <t>Luvo (0.9) Darwin
SN: 3272E00152404</t>
  </si>
  <si>
    <t>ILM003735_28</t>
  </si>
  <si>
    <t>Luvo (0.9) Darwin
SN: 3272E00112404</t>
  </si>
  <si>
    <t>ILM003735_25</t>
  </si>
  <si>
    <t>Luvo (0.9) Darwin Diode Handpiece
SN: H9AL009</t>
  </si>
  <si>
    <t>ILM003735_27</t>
  </si>
  <si>
    <t>Luvo (0.9) Darwin Face Handpiece
SN: H9AF007</t>
  </si>
  <si>
    <t>ILM004884_6</t>
  </si>
  <si>
    <t>Luvo (0.9) Darwin Needle RF Handpiece
SN: I4DN005</t>
  </si>
  <si>
    <t>ILM004884_5</t>
  </si>
  <si>
    <t>Luvo (0.9) Darwin Diode Laser Handpiece
SN: I4AL006</t>
  </si>
  <si>
    <t>ILM004543</t>
  </si>
  <si>
    <t>02/02/2026</t>
  </si>
  <si>
    <t>Luvo (3) Lucent Darwin IPL 700 Filter Ass'y</t>
  </si>
  <si>
    <t>ILM003735_30</t>
  </si>
  <si>
    <t>04/05/2026</t>
  </si>
  <si>
    <t>05/03/2026</t>
  </si>
  <si>
    <t>Luvo (0.9) Darwin
SN: 3272E00012404</t>
  </si>
  <si>
    <t>ILM003735_29</t>
  </si>
  <si>
    <t>Luvo (0.9) Darwin Face Thermal RF Handpiece
SN: H8AF006</t>
  </si>
  <si>
    <t>ILM003736_10</t>
  </si>
  <si>
    <t>Luvo (0.9) Lucent IPL
SN: 9200E00142410</t>
  </si>
  <si>
    <t>ILM004884_10</t>
  </si>
  <si>
    <t>Luvo (0.9) Darwin Needle RF Handpiece
SN: I3CN009</t>
  </si>
  <si>
    <t>ILM004867</t>
  </si>
  <si>
    <t>01/13/2026</t>
  </si>
  <si>
    <t>Luvo (1) Bare 808/ Lucent IPL / Darwin Coolform2 Funnel</t>
  </si>
  <si>
    <t>ILM004884_9</t>
  </si>
  <si>
    <t>Luvo (0.9) Darwin Diode Laser Handpiece
SN: I4AL011</t>
  </si>
  <si>
    <t>ILM004884_8</t>
  </si>
  <si>
    <t>Luvo (0.9) Darwin IPL Handpiece
SN: I4JI017</t>
  </si>
  <si>
    <t>ILM003735_22</t>
  </si>
  <si>
    <t>Luvo (0.9) Darwin Diode Laser Handpiece
SN: H9AL007</t>
  </si>
  <si>
    <t>ILM004884_7</t>
  </si>
  <si>
    <t>Luvo (0.9) Darwin Needle RF Handpiece
SN: I4CN005</t>
  </si>
  <si>
    <t>ILM003736_11</t>
  </si>
  <si>
    <t>Luvo (0.9) Lucent IPL
SN: 9200E00132410</t>
  </si>
  <si>
    <t>ILM004253_23</t>
  </si>
  <si>
    <t>Luvo (1) Bela MD+
SN: 2281E00832410</t>
  </si>
  <si>
    <t>ILM003735_24</t>
  </si>
  <si>
    <t>Luvo (0.9) Darwin
SN: 3272E00042403</t>
  </si>
  <si>
    <t>ILM003735_23</t>
  </si>
  <si>
    <t>Luvo (0.9) Darwin Face Handpiece
SN: H9AF003</t>
  </si>
  <si>
    <t>ILM003735_26</t>
  </si>
  <si>
    <t>Luvo (0.9) Face Handpiece)
SN: H9AF004</t>
  </si>
  <si>
    <t>ILM003736_9</t>
  </si>
  <si>
    <t>Luvo (0.9) Lucent IPL
SN: 9200E00082410</t>
  </si>
  <si>
    <t>ILM003736_8</t>
  </si>
  <si>
    <t>Luvo (0.9) Lucent IPL
SN: 9200E00092410</t>
  </si>
  <si>
    <t>ILM004884_4</t>
  </si>
  <si>
    <t>Luvo (0/9) Darwin IPL Handpiece
SN: I4JI006</t>
  </si>
  <si>
    <t>ILM003735_20</t>
  </si>
  <si>
    <t>Luvo (0.9) Darwin Diode Laser Handpiece
SN: HBAL001</t>
  </si>
  <si>
    <t>Zimmer MedizinSystems (V)</t>
  </si>
  <si>
    <t>155136</t>
  </si>
  <si>
    <t>OPS-175113- (1) Filter - CRYO 6, MINI &amp; SUB Z</t>
  </si>
  <si>
    <t>Acuderm Inc</t>
  </si>
  <si>
    <t>0535338-IN</t>
  </si>
  <si>
    <t>OPS-175786 - Megan Niezgucki 
PC Dermatology, PLLC 
Acuderm Acu-Evac II IE Smoke Evacuator M-2 Main Filter Charcoal Odor ULPA</t>
  </si>
  <si>
    <t>0535336-IN</t>
  </si>
  <si>
    <t>OPS-174680 - Saulis Banionis
Acuderm Acu-Evac II IE Smoke Evacuator M-2 Main Filter Charcoal Odor ULPA</t>
  </si>
  <si>
    <t>0535284-IN</t>
  </si>
  <si>
    <t>06/13/2026</t>
  </si>
  <si>
    <t>OPS-173464
Kristin Podgorski 
Pinnacle Dermatology 
Acuderm Acu-Evac IE</t>
  </si>
  <si>
    <t>11323669</t>
  </si>
  <si>
    <t>OPS-173152 - VS353 - 1/CA VIROVAC 3-PORT FILTER</t>
  </si>
  <si>
    <t>11321911</t>
  </si>
  <si>
    <t>OPS - 174844 - Krystal Marshall 
Pursol ConMed Hyfrecator 2000 ESU</t>
  </si>
  <si>
    <t>ILM004253_26</t>
  </si>
  <si>
    <t>Luvo (1) Bela MD+
SN: 2281E00602410</t>
  </si>
  <si>
    <t>OPS-174814 - Bela MD Diamond Tips E30 &amp; E20 tips</t>
  </si>
  <si>
    <t>ILM004253_27</t>
  </si>
  <si>
    <t>Luvo (1) Bela MD+
SN: 2281E00772410</t>
  </si>
  <si>
    <t>ILM004252_8</t>
  </si>
  <si>
    <t>Luvo (1) Bela MD+
SN: 2281E00352410</t>
  </si>
  <si>
    <t>ILM004252_7</t>
  </si>
  <si>
    <t>Luvo (1) Bela MD+
SN: 2281E00382410</t>
  </si>
  <si>
    <t>ILM003736_4</t>
  </si>
  <si>
    <t>Luvo (0.9) Lucent IPL
SN: 9200E00152410</t>
  </si>
  <si>
    <t>OPS-173055 - Luvo Lucent IPL Handpiece Holder w/4 screws and allen key [0824-00]</t>
  </si>
  <si>
    <t>Luvo (2) Lucent Darwin IPL 700 Filter Ass'y</t>
  </si>
  <si>
    <t>Luvo (25) Darwin Prolift RF Multi 25 Pin Needle Tip 10/box (insulated)</t>
  </si>
  <si>
    <t>Luvo (6) Lucent IPL Handpiece Holder w/4 screws and allen key</t>
  </si>
  <si>
    <t>12/01/2026</t>
  </si>
  <si>
    <t>December 2026 Rent Jaybird</t>
  </si>
  <si>
    <t>11/01/2026</t>
  </si>
  <si>
    <t>November 2026 Rent Jaybird</t>
  </si>
  <si>
    <t>10/01/2026</t>
  </si>
  <si>
    <t>October 2026 Rent Jaybird</t>
  </si>
  <si>
    <t>07/01/2026</t>
  </si>
  <si>
    <t>July 2026 Rent Jaybird</t>
  </si>
  <si>
    <t>September 2026 Rent Jaybird</t>
  </si>
  <si>
    <t>08/01/2026</t>
  </si>
  <si>
    <t>August 2026 Rent Jaybird</t>
  </si>
  <si>
    <t>October 2026 - Rent and CAM</t>
  </si>
  <si>
    <t>December 2026 - Rent and CAM</t>
  </si>
  <si>
    <t>July 2026 - Rent and CAM</t>
  </si>
  <si>
    <t>September 2026 - Rent and CAM</t>
  </si>
  <si>
    <t>November 2026 - Rent and CAM</t>
  </si>
  <si>
    <t>August 2026 - Rent and CAM</t>
  </si>
  <si>
    <t>Current</t>
  </si>
  <si>
    <t>Professional Automotive Equipment Inc</t>
  </si>
  <si>
    <t>9688</t>
  </si>
  <si>
    <t>02/04/2026</t>
  </si>
  <si>
    <t>OPS-161601 - Paint Drying System + Install</t>
  </si>
  <si>
    <t>Hold</t>
  </si>
  <si>
    <t>Ramp Talent</t>
  </si>
  <si>
    <t>451</t>
  </si>
  <si>
    <t>03/06/2026</t>
  </si>
  <si>
    <t>03/09/2026</t>
  </si>
  <si>
    <t>Advanced Retainer Fee - Non-refundable consulting advanced fees for Senor Sales account Maanger and Procurement Specialist</t>
  </si>
  <si>
    <t>207623107</t>
  </si>
  <si>
    <t>Office supplies 5/5/26</t>
  </si>
  <si>
    <t>171150</t>
  </si>
  <si>
    <t>06/07/2026</t>
  </si>
  <si>
    <t>OPS-174458 / OPS-174459 - LMP-20357 Palomar Max Icon Flash Lamp - Red &amp; Black wires</t>
  </si>
  <si>
    <t>IN26-04864</t>
  </si>
  <si>
    <t>OPS-173882 - 626.Pi23.Pi17 Patient Goggles for Laser Safety
Dropship</t>
  </si>
  <si>
    <t>Dext Capital (V)</t>
  </si>
  <si>
    <t>12/15/2025</t>
  </si>
  <si>
    <t>DEKA SmartXide Tetra (SN: M118C1-UN233113)
NEW PO: 50449</t>
  </si>
  <si>
    <t>Dext</t>
  </si>
  <si>
    <t>TJ Sales Associates (V)</t>
  </si>
  <si>
    <t>0171889-IN</t>
  </si>
  <si>
    <t>OPS-173191 - 9908-17-0408 GetleLase Pro, Gentlemax pro Flash Lamps Set</t>
  </si>
  <si>
    <t>DEKA Helix (SN: 00-M133A1-2417003)
NEW PO: 50450</t>
  </si>
  <si>
    <t>49116</t>
  </si>
  <si>
    <t>Cartessa VirtueRF (SN: 22420)
NEW PO: 50442</t>
  </si>
  <si>
    <t>DEKA SmartXide Tetra (SN: UL0C5205C)
NEW PO: 50447</t>
  </si>
  <si>
    <t>DEKA SmartXide Tetra (SN: M118C1-UN233803)
NEW PO: 50448</t>
  </si>
  <si>
    <t>Inmode Morpheus8 (SN: R41226244)
NEW PO: 50446</t>
  </si>
  <si>
    <t>49148</t>
  </si>
  <si>
    <t>04/07/2026</t>
  </si>
  <si>
    <t>Cartessa VirtueRF (SN: 23236)</t>
  </si>
  <si>
    <t>49703</t>
  </si>
  <si>
    <t>BTL Exion (SN: 785F9B000384)
NEW PO: 50444</t>
  </si>
  <si>
    <t>50147</t>
  </si>
  <si>
    <t>Inmode EvolveX (SN: E32325870)
NEW PO: 50443</t>
  </si>
  <si>
    <t>s10139</t>
  </si>
  <si>
    <t>01/19/2026</t>
  </si>
  <si>
    <t>Sciton Joule X (SN: 19026-26018)
NEW PO: 50451</t>
  </si>
  <si>
    <t>38500</t>
  </si>
  <si>
    <t>BTL Exion (SN: 785F7B000618)
NEW PO: 50445</t>
  </si>
  <si>
    <t>Jean Campeau (V)</t>
  </si>
  <si>
    <t>OPS-170812 - Soprano ICE</t>
  </si>
  <si>
    <t>Freestone Advisory, LLC</t>
  </si>
  <si>
    <t>Professional Fee</t>
  </si>
  <si>
    <t>10/07/2026</t>
  </si>
  <si>
    <t>Octboer 2026 Monthly Consulting for Jonathan Nielsen</t>
  </si>
  <si>
    <t>11/30/2026</t>
  </si>
  <si>
    <t>12/07/2026</t>
  </si>
  <si>
    <t>December 2026 Monthly Consulting for Jonathan Nielsen</t>
  </si>
  <si>
    <t>June 2026 Monthly Consulting for Jonathan Nielsen</t>
  </si>
  <si>
    <t>08/31/2026</t>
  </si>
  <si>
    <t>09/07/2026</t>
  </si>
  <si>
    <t>September 2026 Monthly Consulting for Jonathan Nielsen</t>
  </si>
  <si>
    <t>08/07/2026</t>
  </si>
  <si>
    <t>August 2026 Monthly Consulting for Jonathan Nielsen</t>
  </si>
  <si>
    <t>11/02/2026</t>
  </si>
  <si>
    <t>11/07/2026</t>
  </si>
  <si>
    <t>November 2026 Monthly Consulting for Jonathan Nielsen</t>
  </si>
  <si>
    <t>July 2026 Monthly Consulting for Jonathan Nielsen</t>
  </si>
  <si>
    <t>Stratatech - MS365 and Site Maintenance -[05/01/2026 - 05/31/2026]</t>
  </si>
  <si>
    <t>Rivkin Aesthetics (V)</t>
  </si>
  <si>
    <t>OPS-165876 - Candela Velashape III
OPS-165879 - Merz Ultherapy
Received 2/25/2026: Trade with some due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</si>
</sst>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FFE8"/>
        <bgColor indexed="64"/>
      </patternFill>
    </fill>
    <fill>
      <patternFill patternType="solid">
        <fgColor rgb="FFD1E8FF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1"/>
    <xf numFmtId="0" fontId="1" fillId="0" borderId="0"/>
    <xf numFmtId="0" fontId="1" fillId="0" borderId="2"/>
    <xf numFmtId="43" fontId="4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/>
    <xf numFmtId="0" fontId="3" fillId="0" borderId="1" xfId="1" applyFont="1" applyAlignment="1">
      <alignment horizontal="center"/>
    </xf>
    <xf numFmtId="0" fontId="3" fillId="0" borderId="0" xfId="1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14" fontId="2" fillId="2" borderId="0" xfId="0" applyNumberFormat="1" applyFont="1" applyFill="1"/>
    <xf numFmtId="4" fontId="2" fillId="2" borderId="0" xfId="0" applyNumberFormat="1" applyFont="1" applyFill="1"/>
    <xf numFmtId="0" fontId="5" fillId="2" borderId="3" xfId="0" applyFont="1" applyFill="1" applyBorder="1"/>
    <xf numFmtId="0" fontId="6" fillId="2" borderId="3" xfId="0" applyFont="1" applyFill="1" applyBorder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5" fillId="3" borderId="3" xfId="0" applyFont="1" applyFill="1" applyBorder="1"/>
    <xf numFmtId="0" fontId="6" fillId="3" borderId="3" xfId="0" applyFont="1" applyFill="1" applyBorder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14" fontId="2" fillId="4" borderId="0" xfId="0" applyNumberFormat="1" applyFont="1" applyFill="1"/>
    <xf numFmtId="4" fontId="2" fillId="4" borderId="0" xfId="0" applyNumberFormat="1" applyFont="1" applyFill="1"/>
    <xf numFmtId="0" fontId="5" fillId="4" borderId="3" xfId="0" applyFont="1" applyFill="1" applyBorder="1"/>
    <xf numFmtId="0" fontId="6" fillId="4" borderId="3" xfId="0" applyFont="1" applyFill="1" applyBorder="1"/>
    <xf numFmtId="0" fontId="5" fillId="5" borderId="3" xfId="0" applyFont="1" applyFill="1" applyBorder="1"/>
    <xf numFmtId="0" fontId="6" fillId="5" borderId="3" xfId="0" applyFont="1" applyFill="1" applyBorder="1"/>
    <xf numFmtId="0" fontId="2" fillId="6" borderId="0" xfId="0" applyFont="1" applyFill="1" applyAlignment="1">
      <alignment horizontal="left" wrapText="1"/>
    </xf>
    <xf numFmtId="0" fontId="2" fillId="6" borderId="0" xfId="0" applyFont="1" applyFill="1" applyAlignment="1">
      <alignment wrapText="1"/>
    </xf>
    <xf numFmtId="14" fontId="2" fillId="6" borderId="0" xfId="0" applyNumberFormat="1" applyFont="1" applyFill="1" applyAlignment="1">
      <alignment wrapText="1"/>
    </xf>
    <xf numFmtId="4" fontId="2" fillId="6" borderId="0" xfId="0" applyNumberFormat="1" applyFont="1" applyFill="1" applyAlignment="1">
      <alignment wrapText="1"/>
    </xf>
    <xf numFmtId="0" fontId="5" fillId="6" borderId="3" xfId="0" applyFont="1" applyFill="1" applyBorder="1"/>
    <xf numFmtId="0" fontId="6" fillId="6" borderId="3" xfId="0" applyFont="1" applyFill="1" applyBorder="1"/>
    <xf numFmtId="0" fontId="2" fillId="7" borderId="0" xfId="0" applyFont="1" applyFill="1" applyAlignment="1">
      <alignment horizontal="left" wrapText="1"/>
    </xf>
    <xf numFmtId="0" fontId="2" fillId="7" borderId="0" xfId="0" applyFont="1" applyFill="1" applyAlignment="1">
      <alignment wrapText="1"/>
    </xf>
    <xf numFmtId="14" fontId="2" fillId="7" borderId="0" xfId="0" applyNumberFormat="1" applyFont="1" applyFill="1" applyAlignment="1">
      <alignment wrapText="1"/>
    </xf>
    <xf numFmtId="4" fontId="2" fillId="7" borderId="0" xfId="0" applyNumberFormat="1" applyFont="1" applyFill="1" applyAlignment="1">
      <alignment wrapText="1"/>
    </xf>
    <xf numFmtId="0" fontId="5" fillId="7" borderId="3" xfId="0" applyFont="1" applyFill="1" applyBorder="1"/>
    <xf numFmtId="0" fontId="6" fillId="7" borderId="3" xfId="0" applyFont="1" applyFill="1" applyBorder="1"/>
    <xf numFmtId="0" fontId="2" fillId="8" borderId="0" xfId="0" applyFont="1" applyFill="1" applyAlignment="1">
      <alignment horizontal="left" wrapText="1"/>
    </xf>
    <xf numFmtId="0" fontId="2" fillId="8" borderId="0" xfId="0" applyFont="1" applyFill="1" applyAlignment="1">
      <alignment wrapText="1"/>
    </xf>
    <xf numFmtId="14" fontId="2" fillId="8" borderId="0" xfId="0" applyNumberFormat="1" applyFont="1" applyFill="1" applyAlignment="1">
      <alignment wrapText="1"/>
    </xf>
    <xf numFmtId="4" fontId="2" fillId="8" borderId="0" xfId="0" applyNumberFormat="1" applyFont="1" applyFill="1" applyAlignment="1">
      <alignment wrapText="1"/>
    </xf>
    <xf numFmtId="0" fontId="5" fillId="8" borderId="3" xfId="0" applyFont="1" applyFill="1" applyBorder="1"/>
    <xf numFmtId="0" fontId="6" fillId="8" borderId="3" xfId="0" applyFont="1" applyFill="1" applyBorder="1"/>
    <xf numFmtId="0" fontId="5" fillId="0" borderId="0" xfId="0" applyFont="1"/>
    <xf numFmtId="0" fontId="2" fillId="9" borderId="0" xfId="0" applyFont="1" applyFill="1" applyAlignment="1">
      <alignment horizontal="left" wrapText="1"/>
    </xf>
    <xf numFmtId="0" fontId="2" fillId="9" borderId="0" xfId="0" applyFont="1" applyFill="1" applyAlignment="1">
      <alignment wrapText="1"/>
    </xf>
    <xf numFmtId="14" fontId="2" fillId="9" borderId="0" xfId="0" applyNumberFormat="1" applyFont="1" applyFill="1" applyAlignment="1">
      <alignment wrapText="1"/>
    </xf>
    <xf numFmtId="4" fontId="2" fillId="9" borderId="0" xfId="0" applyNumberFormat="1" applyFont="1" applyFill="1" applyAlignment="1">
      <alignment wrapText="1"/>
    </xf>
    <xf numFmtId="0" fontId="5" fillId="9" borderId="3" xfId="0" applyFont="1" applyFill="1" applyBorder="1"/>
    <xf numFmtId="0" fontId="2" fillId="10" borderId="0" xfId="0" applyFont="1" applyFill="1" applyAlignment="1">
      <alignment horizontal="left" wrapText="1"/>
    </xf>
    <xf numFmtId="0" fontId="2" fillId="10" borderId="0" xfId="0" applyFont="1" applyFill="1" applyAlignment="1">
      <alignment wrapText="1"/>
    </xf>
    <xf numFmtId="14" fontId="2" fillId="10" borderId="0" xfId="0" applyNumberFormat="1" applyFont="1" applyFill="1" applyAlignment="1">
      <alignment wrapText="1"/>
    </xf>
    <xf numFmtId="4" fontId="2" fillId="10" borderId="0" xfId="0" applyNumberFormat="1" applyFont="1" applyFill="1" applyAlignment="1">
      <alignment wrapText="1"/>
    </xf>
    <xf numFmtId="0" fontId="5" fillId="10" borderId="3" xfId="0" applyFont="1" applyFill="1" applyBorder="1"/>
    <xf numFmtId="0" fontId="5" fillId="11" borderId="0" xfId="0" applyFont="1" applyFill="1"/>
    <xf numFmtId="4" fontId="2" fillId="2" borderId="0" xfId="0" applyNumberFormat="1" applyFont="1" applyFill="1" applyAlignment="1">
      <alignment horizontal="center"/>
    </xf>
    <xf numFmtId="43" fontId="5" fillId="2" borderId="3" xfId="4" applyFont="1" applyFill="1" applyBorder="1" applyAlignment="1">
      <alignment horizontal="center"/>
    </xf>
    <xf numFmtId="4" fontId="2" fillId="3" borderId="0" xfId="0" applyNumberFormat="1" applyFont="1" applyFill="1" applyAlignment="1">
      <alignment horizontal="center"/>
    </xf>
    <xf numFmtId="43" fontId="5" fillId="3" borderId="3" xfId="4" applyFont="1" applyFill="1" applyBorder="1" applyAlignment="1">
      <alignment horizontal="center"/>
    </xf>
    <xf numFmtId="4" fontId="2" fillId="4" borderId="0" xfId="0" applyNumberFormat="1" applyFont="1" applyFill="1" applyAlignment="1">
      <alignment horizontal="center"/>
    </xf>
    <xf numFmtId="43" fontId="5" fillId="4" borderId="3" xfId="4" applyFont="1" applyFill="1" applyBorder="1" applyAlignment="1">
      <alignment horizontal="center"/>
    </xf>
    <xf numFmtId="43" fontId="5" fillId="5" borderId="3" xfId="4" applyFont="1" applyFill="1" applyBorder="1" applyAlignment="1">
      <alignment horizontal="center"/>
    </xf>
    <xf numFmtId="4" fontId="2" fillId="6" borderId="0" xfId="0" applyNumberFormat="1" applyFont="1" applyFill="1" applyAlignment="1">
      <alignment horizontal="center" wrapText="1"/>
    </xf>
    <xf numFmtId="43" fontId="5" fillId="6" borderId="3" xfId="4" applyFont="1" applyFill="1" applyBorder="1" applyAlignment="1">
      <alignment horizontal="center"/>
    </xf>
    <xf numFmtId="4" fontId="2" fillId="7" borderId="0" xfId="0" applyNumberFormat="1" applyFont="1" applyFill="1" applyAlignment="1">
      <alignment horizontal="center" wrapText="1"/>
    </xf>
    <xf numFmtId="43" fontId="5" fillId="7" borderId="3" xfId="4" applyFont="1" applyFill="1" applyBorder="1" applyAlignment="1">
      <alignment horizontal="center"/>
    </xf>
    <xf numFmtId="4" fontId="2" fillId="8" borderId="0" xfId="0" applyNumberFormat="1" applyFont="1" applyFill="1" applyAlignment="1">
      <alignment horizontal="center" wrapText="1"/>
    </xf>
    <xf numFmtId="43" fontId="5" fillId="8" borderId="3" xfId="4" applyFont="1" applyFill="1" applyBorder="1" applyAlignment="1">
      <alignment horizontal="center"/>
    </xf>
    <xf numFmtId="4" fontId="2" fillId="9" borderId="0" xfId="0" applyNumberFormat="1" applyFont="1" applyFill="1" applyAlignment="1">
      <alignment horizontal="center" wrapText="1"/>
    </xf>
    <xf numFmtId="4" fontId="2" fillId="10" borderId="0" xfId="0" applyNumberFormat="1" applyFont="1" applyFill="1" applyAlignment="1">
      <alignment horizontal="center" wrapText="1"/>
    </xf>
    <xf numFmtId="43" fontId="5" fillId="11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3" fontId="5" fillId="10" borderId="3" xfId="4" applyFont="1" applyFill="1" applyBorder="1" applyAlignment="1">
      <alignment horizontal="center"/>
    </xf>
    <xf numFmtId="43" fontId="5" fillId="9" borderId="3" xfId="4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2" fillId="6" borderId="0" xfId="0" applyFont="1" applyFill="1" applyAlignment="1">
      <alignment horizontal="center" wrapText="1"/>
    </xf>
    <xf numFmtId="14" fontId="2" fillId="6" borderId="0" xfId="0" applyNumberFormat="1" applyFont="1" applyFill="1" applyAlignment="1">
      <alignment horizontal="center" wrapText="1"/>
    </xf>
    <xf numFmtId="0" fontId="6" fillId="6" borderId="3" xfId="0" applyFont="1" applyFill="1" applyBorder="1" applyAlignment="1">
      <alignment horizontal="center"/>
    </xf>
    <xf numFmtId="0" fontId="2" fillId="7" borderId="0" xfId="0" applyFont="1" applyFill="1" applyAlignment="1">
      <alignment horizontal="center" wrapText="1"/>
    </xf>
    <xf numFmtId="0" fontId="6" fillId="7" borderId="3" xfId="0" applyFont="1" applyFill="1" applyBorder="1" applyAlignment="1">
      <alignment horizontal="center"/>
    </xf>
    <xf numFmtId="0" fontId="2" fillId="8" borderId="0" xfId="0" applyFont="1" applyFill="1" applyAlignment="1">
      <alignment horizontal="center" wrapText="1"/>
    </xf>
    <xf numFmtId="0" fontId="6" fillId="8" borderId="3" xfId="0" applyFont="1" applyFill="1" applyBorder="1" applyAlignment="1">
      <alignment horizontal="center"/>
    </xf>
    <xf numFmtId="0" fontId="2" fillId="9" borderId="0" xfId="0" applyFont="1" applyFill="1" applyAlignment="1">
      <alignment horizontal="center" wrapText="1"/>
    </xf>
    <xf numFmtId="0" fontId="5" fillId="9" borderId="3" xfId="0" applyFont="1" applyFill="1" applyBorder="1" applyAlignment="1">
      <alignment horizontal="center"/>
    </xf>
    <xf numFmtId="0" fontId="2" fillId="10" borderId="0" xfId="0" applyFont="1" applyFill="1" applyAlignment="1">
      <alignment horizontal="center" wrapText="1"/>
    </xf>
    <xf numFmtId="14" fontId="2" fillId="10" borderId="0" xfId="0" applyNumberFormat="1" applyFont="1" applyFill="1" applyAlignment="1">
      <alignment horizontal="center" wrapText="1"/>
    </xf>
    <xf numFmtId="0" fontId="5" fillId="10" borderId="3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14" fontId="2" fillId="0" borderId="0" xfId="0" applyNumberFormat="1" applyFont="1" applyAlignment="1">
      <alignment horizontal="left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4" fontId="3" fillId="0" borderId="1" xfId="1" applyNumberFormat="1" applyFont="1" applyAlignment="1">
      <alignment horizontal="center"/>
    </xf>
    <xf numFmtId="14" fontId="6" fillId="2" borderId="3" xfId="0" applyNumberFormat="1" applyFont="1" applyFill="1" applyBorder="1" applyAlignment="1">
      <alignment horizontal="center"/>
    </xf>
    <xf numFmtId="14" fontId="6" fillId="3" borderId="3" xfId="0" applyNumberFormat="1" applyFont="1" applyFill="1" applyBorder="1" applyAlignment="1">
      <alignment horizontal="center"/>
    </xf>
    <xf numFmtId="14" fontId="6" fillId="4" borderId="3" xfId="0" applyNumberFormat="1" applyFont="1" applyFill="1" applyBorder="1" applyAlignment="1">
      <alignment horizontal="center"/>
    </xf>
    <xf numFmtId="14" fontId="6" fillId="5" borderId="3" xfId="0" applyNumberFormat="1" applyFont="1" applyFill="1" applyBorder="1" applyAlignment="1">
      <alignment horizontal="center"/>
    </xf>
    <xf numFmtId="14" fontId="6" fillId="6" borderId="3" xfId="0" applyNumberFormat="1" applyFont="1" applyFill="1" applyBorder="1" applyAlignment="1">
      <alignment horizontal="center"/>
    </xf>
    <xf numFmtId="14" fontId="2" fillId="7" borderId="0" xfId="0" applyNumberFormat="1" applyFont="1" applyFill="1" applyAlignment="1">
      <alignment horizontal="center" wrapText="1"/>
    </xf>
    <xf numFmtId="14" fontId="6" fillId="7" borderId="3" xfId="0" applyNumberFormat="1" applyFont="1" applyFill="1" applyBorder="1" applyAlignment="1">
      <alignment horizontal="center"/>
    </xf>
    <xf numFmtId="14" fontId="2" fillId="8" borderId="0" xfId="0" applyNumberFormat="1" applyFont="1" applyFill="1" applyAlignment="1">
      <alignment horizontal="center" wrapText="1"/>
    </xf>
    <xf numFmtId="14" fontId="6" fillId="8" borderId="3" xfId="0" applyNumberFormat="1" applyFont="1" applyFill="1" applyBorder="1" applyAlignment="1">
      <alignment horizontal="center"/>
    </xf>
    <xf numFmtId="14" fontId="2" fillId="9" borderId="0" xfId="0" applyNumberFormat="1" applyFont="1" applyFill="1" applyAlignment="1">
      <alignment horizontal="center" wrapText="1"/>
    </xf>
    <xf numFmtId="14" fontId="5" fillId="9" borderId="3" xfId="0" applyNumberFormat="1" applyFont="1" applyFill="1" applyBorder="1" applyAlignment="1">
      <alignment horizontal="center"/>
    </xf>
    <xf numFmtId="14" fontId="5" fillId="10" borderId="3" xfId="0" applyNumberFormat="1" applyFont="1" applyFill="1" applyBorder="1" applyAlignment="1">
      <alignment horizontal="center"/>
    </xf>
    <xf numFmtId="14" fontId="5" fillId="11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3" fontId="0" fillId="0" borderId="0" xfId="0" applyNumberFormat="1" applyAlignment="1">
      <alignment horizontal="center"/>
    </xf>
  </cellXfs>
  <cellStyles count="5">
    <cellStyle name="Comma" xfId="4" builtinId="3"/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colors>
    <mruColors>
      <color rgb="FFFFFFCC"/>
      <color rgb="FFD1E8FF"/>
      <color rgb="FFD1FFE8"/>
      <color rgb="FFE5E5FF"/>
      <color rgb="FFFFE7E7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D200-8975-492C-A644-39E5D62A0C86}">
  <dimension ref="A1:N104"/>
  <sheetViews>
    <sheetView tabSelected="1" zoomScaleNormal="100" workbookViewId="0"/>
  </sheetViews>
  <sheetFormatPr defaultRowHeight="15.75" x14ac:dyDescent="0.25"/>
  <cols>
    <col min="1" max="1" width="29.875" bestFit="1" customWidth="1"/>
    <col min="2" max="2" width="24.625" bestFit="1" customWidth="1"/>
    <col min="3" max="3" width="9.25" bestFit="1" customWidth="1"/>
    <col min="4" max="4" width="7.375" bestFit="1" customWidth="1"/>
    <col min="5" max="5" width="7.375" hidden="1" customWidth="1"/>
    <col min="6" max="6" width="7.25" bestFit="1" customWidth="1"/>
    <col min="7" max="7" width="7.375" bestFit="1" customWidth="1"/>
    <col min="8" max="8" width="14.75" style="76" bestFit="1" customWidth="1"/>
    <col min="9" max="9" width="13.125" bestFit="1" customWidth="1"/>
    <col min="10" max="10" width="14.25" customWidth="1"/>
    <col min="11" max="11" width="14.25" style="117" customWidth="1"/>
    <col min="12" max="12" width="14.25" style="76" customWidth="1"/>
    <col min="13" max="13" width="72.375" customWidth="1"/>
  </cols>
  <sheetData>
    <row r="1" spans="1:1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103" t="s">
        <v>9</v>
      </c>
      <c r="L1" s="3" t="s">
        <v>437</v>
      </c>
      <c r="M1" s="8" t="s">
        <v>10</v>
      </c>
      <c r="N1" s="9" t="s">
        <v>11</v>
      </c>
    </row>
    <row r="2" spans="1:14" x14ac:dyDescent="0.25">
      <c r="A2" s="10" t="s">
        <v>12</v>
      </c>
      <c r="B2" s="11" t="s">
        <v>13</v>
      </c>
      <c r="C2" s="11" t="s">
        <v>14</v>
      </c>
      <c r="D2" s="11" t="s">
        <v>15</v>
      </c>
      <c r="E2" s="11" t="s">
        <v>16</v>
      </c>
      <c r="F2" s="12">
        <v>46153</v>
      </c>
      <c r="G2" s="13">
        <v>500</v>
      </c>
      <c r="H2" s="60">
        <v>500</v>
      </c>
      <c r="I2" s="11" t="s">
        <v>17</v>
      </c>
      <c r="J2" s="11" t="s">
        <v>18</v>
      </c>
      <c r="K2" s="79" t="s">
        <v>19</v>
      </c>
      <c r="L2" s="79">
        <v>46055</v>
      </c>
      <c r="M2" s="11" t="s">
        <v>21</v>
      </c>
    </row>
    <row r="3" spans="1:14" x14ac:dyDescent="0.25">
      <c r="A3" s="10" t="s">
        <v>22</v>
      </c>
      <c r="B3" s="11" t="s">
        <v>23</v>
      </c>
      <c r="C3" s="11" t="s">
        <v>24</v>
      </c>
      <c r="D3" s="11" t="s">
        <v>25</v>
      </c>
      <c r="E3" s="11" t="s">
        <v>16</v>
      </c>
      <c r="F3" s="12">
        <v>46153</v>
      </c>
      <c r="G3" s="13">
        <v>3350</v>
      </c>
      <c r="H3" s="60">
        <v>3350</v>
      </c>
      <c r="I3" s="11" t="s">
        <v>17</v>
      </c>
      <c r="J3" s="11" t="s">
        <v>18</v>
      </c>
      <c r="K3" s="79" t="s">
        <v>19</v>
      </c>
      <c r="L3" s="79" t="s">
        <v>20</v>
      </c>
      <c r="M3" s="11" t="s">
        <v>26</v>
      </c>
    </row>
    <row r="4" spans="1:14" x14ac:dyDescent="0.25">
      <c r="A4" s="10" t="s">
        <v>33</v>
      </c>
      <c r="B4" s="11" t="s">
        <v>23</v>
      </c>
      <c r="C4" s="11" t="s">
        <v>34</v>
      </c>
      <c r="D4" s="11" t="s">
        <v>31</v>
      </c>
      <c r="E4" s="11" t="s">
        <v>35</v>
      </c>
      <c r="F4" s="12">
        <v>46164</v>
      </c>
      <c r="G4" s="13">
        <v>1200</v>
      </c>
      <c r="H4" s="60">
        <v>1200</v>
      </c>
      <c r="I4" s="11" t="s">
        <v>17</v>
      </c>
      <c r="J4" s="11" t="s">
        <v>18</v>
      </c>
      <c r="K4" s="79" t="s">
        <v>36</v>
      </c>
      <c r="L4" s="100" t="s">
        <v>20</v>
      </c>
      <c r="M4" s="11" t="s">
        <v>37</v>
      </c>
    </row>
    <row r="5" spans="1:14" x14ac:dyDescent="0.25">
      <c r="A5" s="10" t="s">
        <v>38</v>
      </c>
      <c r="B5" s="11" t="s">
        <v>23</v>
      </c>
      <c r="C5" s="11" t="s">
        <v>39</v>
      </c>
      <c r="D5" s="11" t="s">
        <v>16</v>
      </c>
      <c r="E5" s="11" t="s">
        <v>40</v>
      </c>
      <c r="F5" s="12">
        <v>46169</v>
      </c>
      <c r="G5" s="13">
        <v>1700</v>
      </c>
      <c r="H5" s="60">
        <v>1700</v>
      </c>
      <c r="I5" s="11" t="s">
        <v>17</v>
      </c>
      <c r="J5" s="11" t="s">
        <v>18</v>
      </c>
      <c r="K5" s="79" t="s">
        <v>41</v>
      </c>
      <c r="L5" s="79" t="s">
        <v>20</v>
      </c>
      <c r="M5" s="11" t="s">
        <v>42</v>
      </c>
    </row>
    <row r="6" spans="1:14" x14ac:dyDescent="0.25">
      <c r="A6" s="10" t="s">
        <v>43</v>
      </c>
      <c r="B6" s="11" t="s">
        <v>23</v>
      </c>
      <c r="C6" s="11" t="s">
        <v>44</v>
      </c>
      <c r="D6" s="11" t="s">
        <v>45</v>
      </c>
      <c r="E6" s="11" t="s">
        <v>40</v>
      </c>
      <c r="F6" s="12">
        <v>46169</v>
      </c>
      <c r="G6" s="13">
        <v>1830</v>
      </c>
      <c r="H6" s="60">
        <v>1830</v>
      </c>
      <c r="I6" s="11" t="s">
        <v>17</v>
      </c>
      <c r="J6" s="11" t="s">
        <v>18</v>
      </c>
      <c r="K6" s="79" t="s">
        <v>41</v>
      </c>
      <c r="L6" s="79" t="s">
        <v>20</v>
      </c>
      <c r="M6" s="11" t="s">
        <v>46</v>
      </c>
    </row>
    <row r="7" spans="1:14" x14ac:dyDescent="0.25">
      <c r="A7" s="10" t="s">
        <v>47</v>
      </c>
      <c r="B7" s="11" t="s">
        <v>23</v>
      </c>
      <c r="C7" s="11" t="s">
        <v>48</v>
      </c>
      <c r="D7" s="11" t="s">
        <v>49</v>
      </c>
      <c r="E7" s="11" t="s">
        <v>50</v>
      </c>
      <c r="F7" s="12">
        <v>46163</v>
      </c>
      <c r="G7" s="13">
        <v>1715</v>
      </c>
      <c r="H7" s="60">
        <v>1715</v>
      </c>
      <c r="I7" s="11" t="s">
        <v>17</v>
      </c>
      <c r="J7" s="11" t="s">
        <v>18</v>
      </c>
      <c r="K7" s="79" t="s">
        <v>36</v>
      </c>
      <c r="L7" s="79" t="s">
        <v>20</v>
      </c>
      <c r="M7" s="11" t="s">
        <v>51</v>
      </c>
    </row>
    <row r="8" spans="1:14" x14ac:dyDescent="0.25">
      <c r="A8" s="10" t="s">
        <v>52</v>
      </c>
      <c r="B8" s="11" t="s">
        <v>23</v>
      </c>
      <c r="C8" s="11" t="s">
        <v>53</v>
      </c>
      <c r="D8" s="11" t="s">
        <v>54</v>
      </c>
      <c r="E8" s="11" t="s">
        <v>55</v>
      </c>
      <c r="F8" s="12">
        <v>46171</v>
      </c>
      <c r="G8" s="13">
        <v>1450</v>
      </c>
      <c r="H8" s="60">
        <v>1450</v>
      </c>
      <c r="I8" s="11" t="s">
        <v>17</v>
      </c>
      <c r="J8" s="11" t="s">
        <v>18</v>
      </c>
      <c r="K8" s="79" t="s">
        <v>41</v>
      </c>
      <c r="L8" s="100" t="s">
        <v>20</v>
      </c>
      <c r="M8" s="11" t="s">
        <v>56</v>
      </c>
    </row>
    <row r="9" spans="1:14" x14ac:dyDescent="0.25">
      <c r="A9" s="10" t="s">
        <v>52</v>
      </c>
      <c r="B9" s="11" t="s">
        <v>23</v>
      </c>
      <c r="C9" s="11" t="s">
        <v>57</v>
      </c>
      <c r="D9" s="11" t="s">
        <v>54</v>
      </c>
      <c r="E9" s="11" t="s">
        <v>55</v>
      </c>
      <c r="F9" s="12">
        <v>46171</v>
      </c>
      <c r="G9" s="13">
        <v>500</v>
      </c>
      <c r="H9" s="60">
        <v>500</v>
      </c>
      <c r="I9" s="11" t="s">
        <v>17</v>
      </c>
      <c r="J9" s="11" t="s">
        <v>18</v>
      </c>
      <c r="K9" s="79" t="s">
        <v>41</v>
      </c>
      <c r="L9" s="79" t="s">
        <v>20</v>
      </c>
      <c r="M9" s="11" t="s">
        <v>58</v>
      </c>
    </row>
    <row r="10" spans="1:14" x14ac:dyDescent="0.25">
      <c r="A10" s="10" t="s">
        <v>59</v>
      </c>
      <c r="B10" s="11" t="s">
        <v>60</v>
      </c>
      <c r="C10" s="11" t="s">
        <v>61</v>
      </c>
      <c r="D10" s="11" t="s">
        <v>62</v>
      </c>
      <c r="E10" s="11" t="s">
        <v>63</v>
      </c>
      <c r="F10" s="12">
        <v>46151</v>
      </c>
      <c r="G10" s="13">
        <v>1760</v>
      </c>
      <c r="H10" s="60">
        <v>1760</v>
      </c>
      <c r="I10" s="11" t="s">
        <v>17</v>
      </c>
      <c r="J10" s="11" t="s">
        <v>18</v>
      </c>
      <c r="K10" s="79" t="s">
        <v>64</v>
      </c>
      <c r="L10" s="79" t="s">
        <v>20</v>
      </c>
      <c r="M10" s="11" t="s">
        <v>65</v>
      </c>
    </row>
    <row r="11" spans="1:14" x14ac:dyDescent="0.25">
      <c r="A11" s="10" t="s">
        <v>66</v>
      </c>
      <c r="B11" s="11" t="s">
        <v>60</v>
      </c>
      <c r="C11" s="11" t="s">
        <v>67</v>
      </c>
      <c r="D11" s="11" t="s">
        <v>68</v>
      </c>
      <c r="E11" s="11" t="s">
        <v>69</v>
      </c>
      <c r="F11" s="12">
        <v>46161</v>
      </c>
      <c r="G11" s="13">
        <v>1110</v>
      </c>
      <c r="H11" s="60">
        <v>1110</v>
      </c>
      <c r="I11" s="11" t="s">
        <v>17</v>
      </c>
      <c r="J11" s="11" t="s">
        <v>18</v>
      </c>
      <c r="K11" s="79" t="s">
        <v>41</v>
      </c>
      <c r="L11" s="79" t="s">
        <v>20</v>
      </c>
      <c r="M11" s="11" t="s">
        <v>70</v>
      </c>
    </row>
    <row r="12" spans="1:14" x14ac:dyDescent="0.25">
      <c r="A12" s="10" t="s">
        <v>71</v>
      </c>
      <c r="B12" s="11" t="s">
        <v>60</v>
      </c>
      <c r="C12" s="11" t="s">
        <v>72</v>
      </c>
      <c r="D12" s="11" t="s">
        <v>73</v>
      </c>
      <c r="E12" s="11" t="s">
        <v>54</v>
      </c>
      <c r="F12" s="12">
        <v>46157</v>
      </c>
      <c r="G12" s="13">
        <v>1450</v>
      </c>
      <c r="H12" s="60">
        <v>1450</v>
      </c>
      <c r="I12" s="11" t="s">
        <v>17</v>
      </c>
      <c r="J12" s="11" t="s">
        <v>18</v>
      </c>
      <c r="K12" s="79" t="s">
        <v>31</v>
      </c>
      <c r="L12" s="100" t="s">
        <v>20</v>
      </c>
      <c r="M12" s="11" t="s">
        <v>74</v>
      </c>
    </row>
    <row r="13" spans="1:14" x14ac:dyDescent="0.25">
      <c r="A13" s="10" t="s">
        <v>75</v>
      </c>
      <c r="B13" s="11" t="s">
        <v>60</v>
      </c>
      <c r="C13" s="11" t="s">
        <v>76</v>
      </c>
      <c r="D13" s="11" t="s">
        <v>15</v>
      </c>
      <c r="E13" s="11" t="s">
        <v>16</v>
      </c>
      <c r="F13" s="12">
        <v>46153</v>
      </c>
      <c r="G13" s="13">
        <v>2000</v>
      </c>
      <c r="H13" s="60">
        <v>2000</v>
      </c>
      <c r="I13" s="11" t="s">
        <v>17</v>
      </c>
      <c r="J13" s="11" t="s">
        <v>18</v>
      </c>
      <c r="K13" s="79" t="s">
        <v>31</v>
      </c>
      <c r="L13" s="79" t="s">
        <v>20</v>
      </c>
      <c r="M13" s="11" t="s">
        <v>77</v>
      </c>
    </row>
    <row r="14" spans="1:14" x14ac:dyDescent="0.25">
      <c r="A14" s="10" t="s">
        <v>78</v>
      </c>
      <c r="B14" s="11" t="s">
        <v>60</v>
      </c>
      <c r="C14" s="11" t="s">
        <v>79</v>
      </c>
      <c r="D14" s="11" t="s">
        <v>29</v>
      </c>
      <c r="E14" s="11" t="s">
        <v>30</v>
      </c>
      <c r="F14" s="12">
        <v>46156</v>
      </c>
      <c r="G14" s="13">
        <v>1250</v>
      </c>
      <c r="H14" s="60">
        <v>1250</v>
      </c>
      <c r="I14" s="11" t="s">
        <v>17</v>
      </c>
      <c r="J14" s="11" t="s">
        <v>18</v>
      </c>
      <c r="K14" s="79" t="s">
        <v>31</v>
      </c>
      <c r="L14" s="79" t="s">
        <v>20</v>
      </c>
      <c r="M14" s="11" t="s">
        <v>80</v>
      </c>
    </row>
    <row r="15" spans="1:14" x14ac:dyDescent="0.25">
      <c r="A15" s="10" t="s">
        <v>81</v>
      </c>
      <c r="B15" s="11" t="s">
        <v>60</v>
      </c>
      <c r="C15" s="11" t="s">
        <v>82</v>
      </c>
      <c r="D15" s="11" t="s">
        <v>15</v>
      </c>
      <c r="E15" s="11" t="s">
        <v>16</v>
      </c>
      <c r="F15" s="12">
        <v>46153</v>
      </c>
      <c r="G15" s="13">
        <v>3000</v>
      </c>
      <c r="H15" s="60">
        <v>3000</v>
      </c>
      <c r="I15" s="11" t="s">
        <v>17</v>
      </c>
      <c r="J15" s="11" t="s">
        <v>18</v>
      </c>
      <c r="K15" s="79" t="s">
        <v>54</v>
      </c>
      <c r="L15" s="79" t="s">
        <v>20</v>
      </c>
      <c r="M15" s="11" t="s">
        <v>83</v>
      </c>
    </row>
    <row r="16" spans="1:14" x14ac:dyDescent="0.25">
      <c r="A16" s="10" t="s">
        <v>84</v>
      </c>
      <c r="B16" s="11" t="s">
        <v>60</v>
      </c>
      <c r="C16" s="11" t="s">
        <v>85</v>
      </c>
      <c r="D16" s="11" t="s">
        <v>86</v>
      </c>
      <c r="E16" s="11" t="s">
        <v>16</v>
      </c>
      <c r="F16" s="12">
        <v>46153</v>
      </c>
      <c r="G16" s="13">
        <v>1410</v>
      </c>
      <c r="H16" s="60">
        <v>1410</v>
      </c>
      <c r="I16" s="11" t="s">
        <v>17</v>
      </c>
      <c r="J16" s="11" t="s">
        <v>18</v>
      </c>
      <c r="K16" s="79" t="s">
        <v>19</v>
      </c>
      <c r="L16" s="79" t="s">
        <v>20</v>
      </c>
      <c r="M16" s="11" t="s">
        <v>87</v>
      </c>
    </row>
    <row r="17" spans="1:13" ht="19.5" thickBot="1" x14ac:dyDescent="0.35">
      <c r="A17" s="14" t="s">
        <v>88</v>
      </c>
      <c r="B17" s="15"/>
      <c r="C17" s="15"/>
      <c r="D17" s="15"/>
      <c r="E17" s="15"/>
      <c r="F17" s="15"/>
      <c r="G17" s="15"/>
      <c r="H17" s="61">
        <f>SUBTOTAL(9,H2:H16)</f>
        <v>24225</v>
      </c>
      <c r="I17" s="15"/>
      <c r="J17" s="15"/>
      <c r="K17" s="104"/>
      <c r="L17" s="80"/>
      <c r="M17" s="15"/>
    </row>
    <row r="18" spans="1:13" x14ac:dyDescent="0.25">
      <c r="A18" s="16" t="s">
        <v>89</v>
      </c>
      <c r="B18" s="17" t="s">
        <v>23</v>
      </c>
      <c r="C18" s="17" t="s">
        <v>90</v>
      </c>
      <c r="D18" s="17" t="s">
        <v>49</v>
      </c>
      <c r="E18" s="17" t="s">
        <v>35</v>
      </c>
      <c r="F18" s="18">
        <v>46164</v>
      </c>
      <c r="G18" s="19">
        <v>600</v>
      </c>
      <c r="H18" s="62">
        <v>600</v>
      </c>
      <c r="I18" s="17" t="s">
        <v>91</v>
      </c>
      <c r="J18" s="17" t="s">
        <v>18</v>
      </c>
      <c r="K18" s="81" t="s">
        <v>54</v>
      </c>
      <c r="L18" s="81" t="s">
        <v>20</v>
      </c>
      <c r="M18" s="17" t="s">
        <v>92</v>
      </c>
    </row>
    <row r="19" spans="1:13" x14ac:dyDescent="0.25">
      <c r="A19" s="16" t="s">
        <v>89</v>
      </c>
      <c r="B19" s="17" t="s">
        <v>23</v>
      </c>
      <c r="C19" s="17" t="s">
        <v>93</v>
      </c>
      <c r="D19" s="17" t="s">
        <v>31</v>
      </c>
      <c r="E19" s="17" t="s">
        <v>35</v>
      </c>
      <c r="F19" s="18">
        <v>46164</v>
      </c>
      <c r="G19" s="19">
        <v>1075</v>
      </c>
      <c r="H19" s="62">
        <v>1075</v>
      </c>
      <c r="I19" s="17" t="s">
        <v>91</v>
      </c>
      <c r="J19" s="17" t="s">
        <v>18</v>
      </c>
      <c r="K19" s="81" t="s">
        <v>54</v>
      </c>
      <c r="L19" s="81" t="s">
        <v>20</v>
      </c>
      <c r="M19" s="17" t="s">
        <v>94</v>
      </c>
    </row>
    <row r="20" spans="1:13" x14ac:dyDescent="0.25">
      <c r="A20" s="16" t="s">
        <v>89</v>
      </c>
      <c r="B20" s="17" t="s">
        <v>23</v>
      </c>
      <c r="C20" s="17" t="s">
        <v>95</v>
      </c>
      <c r="D20" s="17" t="s">
        <v>96</v>
      </c>
      <c r="E20" s="17" t="s">
        <v>35</v>
      </c>
      <c r="F20" s="18">
        <v>46164</v>
      </c>
      <c r="G20" s="19">
        <v>925</v>
      </c>
      <c r="H20" s="62">
        <v>925</v>
      </c>
      <c r="I20" s="17" t="s">
        <v>91</v>
      </c>
      <c r="J20" s="17" t="s">
        <v>18</v>
      </c>
      <c r="K20" s="81" t="s">
        <v>54</v>
      </c>
      <c r="L20" s="81" t="s">
        <v>20</v>
      </c>
      <c r="M20" s="17" t="s">
        <v>97</v>
      </c>
    </row>
    <row r="21" spans="1:13" x14ac:dyDescent="0.25">
      <c r="A21" s="16" t="s">
        <v>89</v>
      </c>
      <c r="B21" s="17" t="s">
        <v>23</v>
      </c>
      <c r="C21" s="17" t="s">
        <v>98</v>
      </c>
      <c r="D21" s="17" t="s">
        <v>31</v>
      </c>
      <c r="E21" s="17" t="s">
        <v>35</v>
      </c>
      <c r="F21" s="18">
        <v>46164</v>
      </c>
      <c r="G21" s="19">
        <v>600</v>
      </c>
      <c r="H21" s="62">
        <v>600</v>
      </c>
      <c r="I21" s="17" t="s">
        <v>91</v>
      </c>
      <c r="J21" s="17" t="s">
        <v>18</v>
      </c>
      <c r="K21" s="81" t="s">
        <v>54</v>
      </c>
      <c r="L21" s="81" t="s">
        <v>20</v>
      </c>
      <c r="M21" s="17" t="s">
        <v>99</v>
      </c>
    </row>
    <row r="22" spans="1:13" x14ac:dyDescent="0.25">
      <c r="A22" s="16" t="s">
        <v>89</v>
      </c>
      <c r="B22" s="17" t="s">
        <v>23</v>
      </c>
      <c r="C22" s="17" t="s">
        <v>100</v>
      </c>
      <c r="D22" s="17" t="s">
        <v>49</v>
      </c>
      <c r="E22" s="17" t="s">
        <v>35</v>
      </c>
      <c r="F22" s="18">
        <v>46164</v>
      </c>
      <c r="G22" s="19">
        <v>1075</v>
      </c>
      <c r="H22" s="62">
        <v>1075</v>
      </c>
      <c r="I22" s="17" t="s">
        <v>91</v>
      </c>
      <c r="J22" s="17" t="s">
        <v>18</v>
      </c>
      <c r="K22" s="81" t="s">
        <v>54</v>
      </c>
      <c r="L22" s="101" t="s">
        <v>20</v>
      </c>
      <c r="M22" s="17" t="s">
        <v>101</v>
      </c>
    </row>
    <row r="23" spans="1:13" x14ac:dyDescent="0.25">
      <c r="A23" s="16" t="s">
        <v>89</v>
      </c>
      <c r="B23" s="17" t="s">
        <v>23</v>
      </c>
      <c r="C23" s="17" t="s">
        <v>102</v>
      </c>
      <c r="D23" s="17" t="s">
        <v>63</v>
      </c>
      <c r="E23" s="17" t="s">
        <v>103</v>
      </c>
      <c r="F23" s="18">
        <v>46167</v>
      </c>
      <c r="G23" s="19">
        <v>1075</v>
      </c>
      <c r="H23" s="62">
        <v>1075</v>
      </c>
      <c r="I23" s="17" t="s">
        <v>91</v>
      </c>
      <c r="J23" s="17" t="s">
        <v>18</v>
      </c>
      <c r="K23" s="81" t="s">
        <v>54</v>
      </c>
      <c r="L23" s="101" t="s">
        <v>20</v>
      </c>
      <c r="M23" s="17" t="s">
        <v>104</v>
      </c>
    </row>
    <row r="24" spans="1:13" ht="19.5" thickBot="1" x14ac:dyDescent="0.35">
      <c r="A24" s="20" t="s">
        <v>105</v>
      </c>
      <c r="B24" s="21"/>
      <c r="C24" s="21"/>
      <c r="D24" s="21"/>
      <c r="E24" s="21"/>
      <c r="F24" s="21"/>
      <c r="G24" s="21"/>
      <c r="H24" s="63">
        <f>SUBTOTAL(9,H18:H23)</f>
        <v>5350</v>
      </c>
      <c r="I24" s="21"/>
      <c r="J24" s="21"/>
      <c r="K24" s="105"/>
      <c r="L24" s="82"/>
      <c r="M24" s="21"/>
    </row>
    <row r="25" spans="1:13" x14ac:dyDescent="0.25">
      <c r="A25" s="22" t="s">
        <v>106</v>
      </c>
      <c r="B25" s="23" t="s">
        <v>23</v>
      </c>
      <c r="C25" s="23" t="s">
        <v>107</v>
      </c>
      <c r="D25" s="23" t="s">
        <v>29</v>
      </c>
      <c r="E25" s="23" t="s">
        <v>69</v>
      </c>
      <c r="F25" s="24">
        <v>46161</v>
      </c>
      <c r="G25" s="25">
        <v>1200</v>
      </c>
      <c r="H25" s="64">
        <v>1200</v>
      </c>
      <c r="I25" s="23" t="s">
        <v>108</v>
      </c>
      <c r="J25" s="23" t="s">
        <v>18</v>
      </c>
      <c r="K25" s="83" t="s">
        <v>36</v>
      </c>
      <c r="L25" s="83" t="s">
        <v>20</v>
      </c>
      <c r="M25" s="23" t="s">
        <v>109</v>
      </c>
    </row>
    <row r="26" spans="1:13" x14ac:dyDescent="0.25">
      <c r="A26" s="22" t="s">
        <v>110</v>
      </c>
      <c r="B26" s="23" t="s">
        <v>23</v>
      </c>
      <c r="C26" s="23" t="s">
        <v>111</v>
      </c>
      <c r="D26" s="23" t="s">
        <v>29</v>
      </c>
      <c r="E26" s="23" t="s">
        <v>30</v>
      </c>
      <c r="F26" s="24">
        <v>46156</v>
      </c>
      <c r="G26" s="25">
        <v>2000</v>
      </c>
      <c r="H26" s="64">
        <v>2000</v>
      </c>
      <c r="I26" s="23" t="s">
        <v>108</v>
      </c>
      <c r="J26" s="23" t="s">
        <v>18</v>
      </c>
      <c r="K26" s="83" t="s">
        <v>31</v>
      </c>
      <c r="L26" s="83" t="s">
        <v>20</v>
      </c>
      <c r="M26" s="23" t="s">
        <v>112</v>
      </c>
    </row>
    <row r="27" spans="1:13" x14ac:dyDescent="0.25">
      <c r="A27" s="22" t="s">
        <v>27</v>
      </c>
      <c r="B27" s="23" t="s">
        <v>23</v>
      </c>
      <c r="C27" s="23" t="s">
        <v>28</v>
      </c>
      <c r="D27" s="23" t="s">
        <v>29</v>
      </c>
      <c r="E27" s="23" t="s">
        <v>30</v>
      </c>
      <c r="F27" s="24">
        <v>46156</v>
      </c>
      <c r="G27" s="25">
        <v>580</v>
      </c>
      <c r="H27" s="64">
        <v>580</v>
      </c>
      <c r="I27" s="23" t="s">
        <v>108</v>
      </c>
      <c r="J27" s="23" t="s">
        <v>18</v>
      </c>
      <c r="K27" s="83" t="s">
        <v>31</v>
      </c>
      <c r="L27" s="83" t="s">
        <v>20</v>
      </c>
      <c r="M27" s="23" t="s">
        <v>32</v>
      </c>
    </row>
    <row r="28" spans="1:13" x14ac:dyDescent="0.25">
      <c r="A28" s="22" t="s">
        <v>113</v>
      </c>
      <c r="B28" s="23" t="s">
        <v>23</v>
      </c>
      <c r="C28" s="23" t="s">
        <v>114</v>
      </c>
      <c r="D28" s="23" t="s">
        <v>31</v>
      </c>
      <c r="E28" s="23" t="s">
        <v>103</v>
      </c>
      <c r="F28" s="24">
        <v>46167</v>
      </c>
      <c r="G28" s="25">
        <v>2100</v>
      </c>
      <c r="H28" s="64">
        <v>2100</v>
      </c>
      <c r="I28" s="23" t="s">
        <v>108</v>
      </c>
      <c r="J28" s="23" t="s">
        <v>18</v>
      </c>
      <c r="K28" s="83" t="s">
        <v>36</v>
      </c>
      <c r="L28" s="83" t="s">
        <v>20</v>
      </c>
      <c r="M28" s="23" t="s">
        <v>115</v>
      </c>
    </row>
    <row r="29" spans="1:13" x14ac:dyDescent="0.25">
      <c r="A29" s="22" t="s">
        <v>116</v>
      </c>
      <c r="B29" s="23" t="s">
        <v>23</v>
      </c>
      <c r="C29" s="23" t="s">
        <v>117</v>
      </c>
      <c r="D29" s="23" t="s">
        <v>64</v>
      </c>
      <c r="E29" s="23" t="s">
        <v>41</v>
      </c>
      <c r="F29" s="24">
        <v>46160</v>
      </c>
      <c r="G29" s="25">
        <v>530.91999999999996</v>
      </c>
      <c r="H29" s="64">
        <v>530.91999999999996</v>
      </c>
      <c r="I29" s="23" t="s">
        <v>108</v>
      </c>
      <c r="J29" s="23" t="s">
        <v>18</v>
      </c>
      <c r="K29" s="83" t="s">
        <v>31</v>
      </c>
      <c r="L29" s="83" t="s">
        <v>20</v>
      </c>
      <c r="M29" s="23" t="s">
        <v>118</v>
      </c>
    </row>
    <row r="30" spans="1:13" x14ac:dyDescent="0.25">
      <c r="A30" s="22" t="s">
        <v>119</v>
      </c>
      <c r="B30" s="23" t="s">
        <v>60</v>
      </c>
      <c r="C30" s="23" t="s">
        <v>120</v>
      </c>
      <c r="D30" s="23" t="s">
        <v>19</v>
      </c>
      <c r="E30" s="23" t="s">
        <v>36</v>
      </c>
      <c r="F30" s="24">
        <v>46154</v>
      </c>
      <c r="G30" s="25">
        <v>1200</v>
      </c>
      <c r="H30" s="64">
        <v>1200</v>
      </c>
      <c r="I30" s="23" t="s">
        <v>108</v>
      </c>
      <c r="J30" s="23" t="s">
        <v>18</v>
      </c>
      <c r="K30" s="83" t="s">
        <v>31</v>
      </c>
      <c r="L30" s="83" t="s">
        <v>20</v>
      </c>
      <c r="M30" s="23" t="s">
        <v>121</v>
      </c>
    </row>
    <row r="31" spans="1:13" x14ac:dyDescent="0.25">
      <c r="A31" s="22" t="s">
        <v>122</v>
      </c>
      <c r="B31" s="23" t="s">
        <v>60</v>
      </c>
      <c r="C31" s="23" t="s">
        <v>123</v>
      </c>
      <c r="D31" s="23" t="s">
        <v>124</v>
      </c>
      <c r="E31" s="23" t="s">
        <v>125</v>
      </c>
      <c r="F31" s="24">
        <v>46162</v>
      </c>
      <c r="G31" s="25">
        <v>1800</v>
      </c>
      <c r="H31" s="64">
        <v>1800</v>
      </c>
      <c r="I31" s="23" t="s">
        <v>108</v>
      </c>
      <c r="J31" s="23" t="s">
        <v>18</v>
      </c>
      <c r="K31" s="83" t="s">
        <v>41</v>
      </c>
      <c r="L31" s="102" t="s">
        <v>20</v>
      </c>
      <c r="M31" s="23" t="s">
        <v>126</v>
      </c>
    </row>
    <row r="32" spans="1:13" ht="19.5" thickBot="1" x14ac:dyDescent="0.35">
      <c r="A32" s="26" t="s">
        <v>127</v>
      </c>
      <c r="B32" s="27"/>
      <c r="C32" s="27"/>
      <c r="D32" s="27"/>
      <c r="E32" s="27"/>
      <c r="F32" s="27"/>
      <c r="G32" s="27"/>
      <c r="H32" s="65">
        <f>SUBTOTAL(9,H25:H31)</f>
        <v>9410.92</v>
      </c>
      <c r="I32" s="27"/>
      <c r="J32" s="27"/>
      <c r="K32" s="106"/>
      <c r="L32" s="84"/>
      <c r="M32" s="27"/>
    </row>
    <row r="33" spans="1:13" ht="19.5" thickBot="1" x14ac:dyDescent="0.35">
      <c r="A33" s="28" t="s">
        <v>128</v>
      </c>
      <c r="B33" s="29"/>
      <c r="C33" s="29"/>
      <c r="D33" s="29"/>
      <c r="E33" s="29"/>
      <c r="F33" s="29"/>
      <c r="G33" s="29"/>
      <c r="H33" s="66">
        <f>SUM(H32,H24,H17)</f>
        <v>38985.919999999998</v>
      </c>
      <c r="I33" s="29"/>
      <c r="J33" s="29"/>
      <c r="K33" s="107"/>
      <c r="L33" s="85"/>
      <c r="M33" s="29"/>
    </row>
    <row r="34" spans="1:13" ht="23.25" x14ac:dyDescent="0.25">
      <c r="A34" s="30" t="s">
        <v>129</v>
      </c>
      <c r="B34" s="31" t="s">
        <v>130</v>
      </c>
      <c r="C34" s="31" t="s">
        <v>131</v>
      </c>
      <c r="D34" s="31" t="s">
        <v>132</v>
      </c>
      <c r="E34" s="31" t="s">
        <v>133</v>
      </c>
      <c r="F34" s="32">
        <v>46118</v>
      </c>
      <c r="G34" s="33">
        <v>12825</v>
      </c>
      <c r="H34" s="67">
        <v>12825</v>
      </c>
      <c r="I34" s="31" t="s">
        <v>17</v>
      </c>
      <c r="J34" s="31" t="s">
        <v>20</v>
      </c>
      <c r="K34" s="87" t="s">
        <v>20</v>
      </c>
      <c r="L34" s="86" t="s">
        <v>20</v>
      </c>
      <c r="M34" s="31" t="s">
        <v>134</v>
      </c>
    </row>
    <row r="35" spans="1:13" ht="34.5" x14ac:dyDescent="0.25">
      <c r="A35" s="30" t="s">
        <v>138</v>
      </c>
      <c r="B35" s="30" t="s">
        <v>139</v>
      </c>
      <c r="C35" s="30" t="s">
        <v>140</v>
      </c>
      <c r="D35" s="30" t="s">
        <v>96</v>
      </c>
      <c r="E35" s="30" t="s">
        <v>36</v>
      </c>
      <c r="F35" s="32">
        <v>46154</v>
      </c>
      <c r="G35" s="33">
        <v>8373.75</v>
      </c>
      <c r="H35" s="67">
        <v>8373.75</v>
      </c>
      <c r="I35" s="30" t="s">
        <v>17</v>
      </c>
      <c r="J35" s="30" t="s">
        <v>141</v>
      </c>
      <c r="K35" s="87">
        <v>46153</v>
      </c>
      <c r="L35" s="87" t="s">
        <v>20</v>
      </c>
      <c r="M35" s="30" t="s">
        <v>142</v>
      </c>
    </row>
    <row r="36" spans="1:13" ht="23.25" x14ac:dyDescent="0.25">
      <c r="A36" s="30" t="s">
        <v>143</v>
      </c>
      <c r="B36" s="31" t="s">
        <v>139</v>
      </c>
      <c r="C36" s="31" t="s">
        <v>144</v>
      </c>
      <c r="D36" s="31" t="s">
        <v>145</v>
      </c>
      <c r="E36" s="31" t="s">
        <v>146</v>
      </c>
      <c r="F36" s="32">
        <v>46152</v>
      </c>
      <c r="G36" s="33">
        <v>6422</v>
      </c>
      <c r="H36" s="67">
        <v>6422</v>
      </c>
      <c r="I36" s="31" t="s">
        <v>17</v>
      </c>
      <c r="J36" s="31" t="s">
        <v>141</v>
      </c>
      <c r="K36" s="87" t="s">
        <v>86</v>
      </c>
      <c r="L36" s="87" t="s">
        <v>20</v>
      </c>
      <c r="M36" s="31" t="s">
        <v>147</v>
      </c>
    </row>
    <row r="37" spans="1:13" ht="23.25" x14ac:dyDescent="0.25">
      <c r="A37" s="30" t="s">
        <v>143</v>
      </c>
      <c r="B37" s="31" t="s">
        <v>139</v>
      </c>
      <c r="C37" s="31" t="s">
        <v>148</v>
      </c>
      <c r="D37" s="31" t="s">
        <v>149</v>
      </c>
      <c r="E37" s="31" t="s">
        <v>40</v>
      </c>
      <c r="F37" s="32">
        <v>46169</v>
      </c>
      <c r="G37" s="33">
        <v>6160</v>
      </c>
      <c r="H37" s="67">
        <v>6160</v>
      </c>
      <c r="I37" s="31" t="s">
        <v>17</v>
      </c>
      <c r="J37" s="31" t="s">
        <v>141</v>
      </c>
      <c r="K37" s="87" t="s">
        <v>19</v>
      </c>
      <c r="L37" s="87" t="s">
        <v>20</v>
      </c>
      <c r="M37" s="31" t="s">
        <v>150</v>
      </c>
    </row>
    <row r="38" spans="1:13" ht="23.25" x14ac:dyDescent="0.25">
      <c r="A38" s="30" t="s">
        <v>143</v>
      </c>
      <c r="B38" s="31" t="s">
        <v>139</v>
      </c>
      <c r="C38" s="31" t="s">
        <v>151</v>
      </c>
      <c r="D38" s="31" t="s">
        <v>149</v>
      </c>
      <c r="E38" s="31" t="s">
        <v>40</v>
      </c>
      <c r="F38" s="32">
        <v>46169</v>
      </c>
      <c r="G38" s="33">
        <v>7819</v>
      </c>
      <c r="H38" s="67">
        <v>7819</v>
      </c>
      <c r="I38" s="31" t="s">
        <v>17</v>
      </c>
      <c r="J38" s="31" t="s">
        <v>141</v>
      </c>
      <c r="K38" s="87" t="s">
        <v>19</v>
      </c>
      <c r="L38" s="87" t="s">
        <v>20</v>
      </c>
      <c r="M38" s="31" t="s">
        <v>152</v>
      </c>
    </row>
    <row r="39" spans="1:13" ht="23.25" x14ac:dyDescent="0.25">
      <c r="A39" s="30" t="s">
        <v>143</v>
      </c>
      <c r="B39" s="31" t="s">
        <v>139</v>
      </c>
      <c r="C39" s="31" t="s">
        <v>153</v>
      </c>
      <c r="D39" s="31" t="s">
        <v>154</v>
      </c>
      <c r="E39" s="31" t="s">
        <v>155</v>
      </c>
      <c r="F39" s="32">
        <v>46170</v>
      </c>
      <c r="G39" s="33">
        <v>7251</v>
      </c>
      <c r="H39" s="67">
        <v>7251</v>
      </c>
      <c r="I39" s="31" t="s">
        <v>17</v>
      </c>
      <c r="J39" s="31" t="s">
        <v>141</v>
      </c>
      <c r="K39" s="87" t="s">
        <v>19</v>
      </c>
      <c r="L39" s="87" t="s">
        <v>20</v>
      </c>
      <c r="M39" s="31" t="s">
        <v>156</v>
      </c>
    </row>
    <row r="40" spans="1:13" ht="57" x14ac:dyDescent="0.25">
      <c r="A40" s="30" t="s">
        <v>157</v>
      </c>
      <c r="B40" s="31" t="s">
        <v>139</v>
      </c>
      <c r="C40" s="31" t="s">
        <v>158</v>
      </c>
      <c r="D40" s="31" t="s">
        <v>29</v>
      </c>
      <c r="E40" s="31" t="s">
        <v>136</v>
      </c>
      <c r="F40" s="32">
        <v>46172</v>
      </c>
      <c r="G40" s="33">
        <v>1128.25</v>
      </c>
      <c r="H40" s="67">
        <v>1128.25</v>
      </c>
      <c r="I40" s="31" t="s">
        <v>17</v>
      </c>
      <c r="J40" s="31" t="s">
        <v>141</v>
      </c>
      <c r="K40" s="87" t="s">
        <v>64</v>
      </c>
      <c r="L40" s="86" t="s">
        <v>20</v>
      </c>
      <c r="M40" s="31" t="s">
        <v>159</v>
      </c>
    </row>
    <row r="41" spans="1:13" ht="23.25" x14ac:dyDescent="0.25">
      <c r="A41" s="30" t="s">
        <v>157</v>
      </c>
      <c r="B41" s="31" t="s">
        <v>139</v>
      </c>
      <c r="C41" s="31" t="s">
        <v>160</v>
      </c>
      <c r="D41" s="31" t="s">
        <v>62</v>
      </c>
      <c r="E41" s="31" t="s">
        <v>103</v>
      </c>
      <c r="F41" s="32">
        <v>46167</v>
      </c>
      <c r="G41" s="33">
        <v>152.5</v>
      </c>
      <c r="H41" s="67">
        <v>152.5</v>
      </c>
      <c r="I41" s="31" t="s">
        <v>17</v>
      </c>
      <c r="J41" s="31" t="s">
        <v>141</v>
      </c>
      <c r="K41" s="87" t="s">
        <v>19</v>
      </c>
      <c r="L41" s="86" t="s">
        <v>20</v>
      </c>
      <c r="M41" s="31" t="s">
        <v>161</v>
      </c>
    </row>
    <row r="42" spans="1:13" ht="23.25" x14ac:dyDescent="0.25">
      <c r="A42" s="30" t="s">
        <v>157</v>
      </c>
      <c r="B42" s="31" t="s">
        <v>139</v>
      </c>
      <c r="C42" s="31" t="s">
        <v>162</v>
      </c>
      <c r="D42" s="31" t="s">
        <v>86</v>
      </c>
      <c r="E42" s="31" t="s">
        <v>163</v>
      </c>
      <c r="F42" s="32">
        <v>46165</v>
      </c>
      <c r="G42" s="33">
        <v>1525.51</v>
      </c>
      <c r="H42" s="67">
        <v>1525.51</v>
      </c>
      <c r="I42" s="31" t="s">
        <v>17</v>
      </c>
      <c r="J42" s="31" t="s">
        <v>141</v>
      </c>
      <c r="K42" s="87" t="s">
        <v>19</v>
      </c>
      <c r="L42" s="86" t="s">
        <v>20</v>
      </c>
      <c r="M42" s="31" t="s">
        <v>164</v>
      </c>
    </row>
    <row r="43" spans="1:13" ht="23.25" x14ac:dyDescent="0.25">
      <c r="A43" s="30" t="s">
        <v>157</v>
      </c>
      <c r="B43" s="31" t="s">
        <v>139</v>
      </c>
      <c r="C43" s="31" t="s">
        <v>165</v>
      </c>
      <c r="D43" s="31" t="s">
        <v>29</v>
      </c>
      <c r="E43" s="31" t="s">
        <v>136</v>
      </c>
      <c r="F43" s="32">
        <v>46172</v>
      </c>
      <c r="G43" s="33">
        <v>389.21</v>
      </c>
      <c r="H43" s="67">
        <v>389.21</v>
      </c>
      <c r="I43" s="31" t="s">
        <v>17</v>
      </c>
      <c r="J43" s="31" t="s">
        <v>141</v>
      </c>
      <c r="K43" s="87" t="s">
        <v>64</v>
      </c>
      <c r="L43" s="86" t="s">
        <v>20</v>
      </c>
      <c r="M43" s="31" t="s">
        <v>166</v>
      </c>
    </row>
    <row r="44" spans="1:13" ht="23.25" x14ac:dyDescent="0.25">
      <c r="A44" s="30" t="s">
        <v>174</v>
      </c>
      <c r="B44" s="31" t="s">
        <v>168</v>
      </c>
      <c r="C44" s="31" t="s">
        <v>175</v>
      </c>
      <c r="D44" s="31" t="s">
        <v>176</v>
      </c>
      <c r="E44" s="31" t="s">
        <v>177</v>
      </c>
      <c r="F44" s="32">
        <v>46121</v>
      </c>
      <c r="G44" s="33">
        <v>10314.74</v>
      </c>
      <c r="H44" s="67">
        <v>10314.74</v>
      </c>
      <c r="I44" s="31" t="s">
        <v>17</v>
      </c>
      <c r="J44" s="31" t="s">
        <v>178</v>
      </c>
      <c r="K44" s="87" t="s">
        <v>20</v>
      </c>
      <c r="L44" s="86" t="s">
        <v>20</v>
      </c>
      <c r="M44" s="31" t="s">
        <v>179</v>
      </c>
    </row>
    <row r="45" spans="1:13" ht="23.25" x14ac:dyDescent="0.25">
      <c r="A45" s="30" t="s">
        <v>207</v>
      </c>
      <c r="B45" s="31" t="s">
        <v>208</v>
      </c>
      <c r="C45" s="31" t="s">
        <v>209</v>
      </c>
      <c r="D45" s="31" t="s">
        <v>210</v>
      </c>
      <c r="E45" s="31" t="s">
        <v>211</v>
      </c>
      <c r="F45" s="32">
        <v>46114</v>
      </c>
      <c r="G45" s="33">
        <v>25096.5</v>
      </c>
      <c r="H45" s="67">
        <v>25096.5</v>
      </c>
      <c r="I45" s="31" t="s">
        <v>17</v>
      </c>
      <c r="J45" s="31" t="s">
        <v>18</v>
      </c>
      <c r="K45" s="87" t="s">
        <v>212</v>
      </c>
      <c r="L45" s="87" t="s">
        <v>213</v>
      </c>
      <c r="M45" s="31" t="s">
        <v>214</v>
      </c>
    </row>
    <row r="46" spans="1:13" ht="23.25" x14ac:dyDescent="0.25">
      <c r="A46" s="30" t="s">
        <v>207</v>
      </c>
      <c r="B46" s="31" t="s">
        <v>208</v>
      </c>
      <c r="C46" s="31" t="s">
        <v>215</v>
      </c>
      <c r="D46" s="31" t="s">
        <v>183</v>
      </c>
      <c r="E46" s="31" t="s">
        <v>25</v>
      </c>
      <c r="F46" s="32">
        <v>46136</v>
      </c>
      <c r="G46" s="33">
        <v>250</v>
      </c>
      <c r="H46" s="67">
        <v>250</v>
      </c>
      <c r="I46" s="31" t="s">
        <v>17</v>
      </c>
      <c r="J46" s="31" t="s">
        <v>18</v>
      </c>
      <c r="K46" s="87" t="s">
        <v>216</v>
      </c>
      <c r="L46" s="87" t="s">
        <v>217</v>
      </c>
      <c r="M46" s="31" t="s">
        <v>218</v>
      </c>
    </row>
    <row r="47" spans="1:13" ht="23.25" x14ac:dyDescent="0.25">
      <c r="A47" s="30" t="s">
        <v>229</v>
      </c>
      <c r="B47" s="31" t="s">
        <v>230</v>
      </c>
      <c r="C47" s="31" t="s">
        <v>231</v>
      </c>
      <c r="D47" s="31" t="s">
        <v>29</v>
      </c>
      <c r="E47" s="31" t="s">
        <v>136</v>
      </c>
      <c r="F47" s="32">
        <v>46172</v>
      </c>
      <c r="G47" s="33">
        <v>318</v>
      </c>
      <c r="H47" s="67">
        <v>318</v>
      </c>
      <c r="I47" s="31" t="s">
        <v>17</v>
      </c>
      <c r="J47" s="31" t="s">
        <v>18</v>
      </c>
      <c r="K47" s="87" t="s">
        <v>15</v>
      </c>
      <c r="L47" s="87" t="s">
        <v>124</v>
      </c>
      <c r="M47" s="31" t="s">
        <v>232</v>
      </c>
    </row>
    <row r="48" spans="1:13" ht="23.25" x14ac:dyDescent="0.25">
      <c r="A48" s="30" t="s">
        <v>229</v>
      </c>
      <c r="B48" s="31" t="s">
        <v>230</v>
      </c>
      <c r="C48" s="31" t="s">
        <v>233</v>
      </c>
      <c r="D48" s="31" t="s">
        <v>29</v>
      </c>
      <c r="E48" s="31" t="s">
        <v>136</v>
      </c>
      <c r="F48" s="32">
        <v>46172</v>
      </c>
      <c r="G48" s="33">
        <v>1522.44</v>
      </c>
      <c r="H48" s="67">
        <v>1522.44</v>
      </c>
      <c r="I48" s="31" t="s">
        <v>17</v>
      </c>
      <c r="J48" s="31" t="s">
        <v>18</v>
      </c>
      <c r="K48" s="87" t="s">
        <v>15</v>
      </c>
      <c r="L48" s="87" t="s">
        <v>124</v>
      </c>
      <c r="M48" s="31" t="s">
        <v>232</v>
      </c>
    </row>
    <row r="49" spans="1:14" ht="23.25" x14ac:dyDescent="0.25">
      <c r="A49" s="30" t="s">
        <v>229</v>
      </c>
      <c r="B49" s="31" t="s">
        <v>230</v>
      </c>
      <c r="C49" s="31" t="s">
        <v>234</v>
      </c>
      <c r="D49" s="31" t="s">
        <v>62</v>
      </c>
      <c r="E49" s="31" t="s">
        <v>103</v>
      </c>
      <c r="F49" s="32">
        <v>46167</v>
      </c>
      <c r="G49" s="33">
        <v>1897.2</v>
      </c>
      <c r="H49" s="67">
        <v>1897.2</v>
      </c>
      <c r="I49" s="31" t="s">
        <v>17</v>
      </c>
      <c r="J49" s="31" t="s">
        <v>18</v>
      </c>
      <c r="K49" s="87" t="s">
        <v>19</v>
      </c>
      <c r="L49" s="87" t="s">
        <v>73</v>
      </c>
      <c r="M49" s="31" t="s">
        <v>235</v>
      </c>
    </row>
    <row r="50" spans="1:14" ht="23.25" x14ac:dyDescent="0.25">
      <c r="A50" s="30" t="s">
        <v>229</v>
      </c>
      <c r="B50" s="31" t="s">
        <v>230</v>
      </c>
      <c r="C50" s="31" t="s">
        <v>236</v>
      </c>
      <c r="D50" s="31" t="s">
        <v>73</v>
      </c>
      <c r="E50" s="31" t="s">
        <v>237</v>
      </c>
      <c r="F50" s="32">
        <v>46173</v>
      </c>
      <c r="G50" s="33">
        <v>158.5</v>
      </c>
      <c r="H50" s="67">
        <v>158.5</v>
      </c>
      <c r="I50" s="31" t="s">
        <v>17</v>
      </c>
      <c r="J50" s="31" t="s">
        <v>18</v>
      </c>
      <c r="K50" s="87" t="s">
        <v>15</v>
      </c>
      <c r="L50" s="87" t="s">
        <v>124</v>
      </c>
      <c r="M50" s="31" t="s">
        <v>232</v>
      </c>
    </row>
    <row r="51" spans="1:14" ht="23.25" x14ac:dyDescent="0.25">
      <c r="A51" s="30" t="s">
        <v>241</v>
      </c>
      <c r="B51" s="31" t="s">
        <v>239</v>
      </c>
      <c r="C51" s="31" t="s">
        <v>242</v>
      </c>
      <c r="D51" s="31" t="s">
        <v>149</v>
      </c>
      <c r="E51" s="31" t="s">
        <v>68</v>
      </c>
      <c r="F51" s="32">
        <v>46141</v>
      </c>
      <c r="G51" s="33">
        <v>1200</v>
      </c>
      <c r="H51" s="67">
        <v>1200</v>
      </c>
      <c r="I51" s="31" t="s">
        <v>17</v>
      </c>
      <c r="J51" s="31" t="s">
        <v>243</v>
      </c>
      <c r="K51" s="87" t="s">
        <v>20</v>
      </c>
      <c r="L51" s="87" t="s">
        <v>20</v>
      </c>
      <c r="M51" s="31" t="s">
        <v>244</v>
      </c>
    </row>
    <row r="52" spans="1:14" ht="23.25" x14ac:dyDescent="0.25">
      <c r="A52" s="30" t="s">
        <v>241</v>
      </c>
      <c r="B52" s="31" t="s">
        <v>239</v>
      </c>
      <c r="C52" s="31" t="s">
        <v>245</v>
      </c>
      <c r="D52" s="31" t="s">
        <v>216</v>
      </c>
      <c r="E52" s="31" t="s">
        <v>246</v>
      </c>
      <c r="F52" s="32">
        <v>46129</v>
      </c>
      <c r="G52" s="33">
        <v>28510</v>
      </c>
      <c r="H52" s="67">
        <v>28510</v>
      </c>
      <c r="I52" s="31" t="s">
        <v>17</v>
      </c>
      <c r="J52" s="31" t="s">
        <v>243</v>
      </c>
      <c r="K52" s="87" t="s">
        <v>20</v>
      </c>
      <c r="L52" s="87" t="s">
        <v>20</v>
      </c>
      <c r="M52" s="31" t="s">
        <v>247</v>
      </c>
    </row>
    <row r="53" spans="1:14" ht="23.25" x14ac:dyDescent="0.25">
      <c r="A53" s="30" t="s">
        <v>248</v>
      </c>
      <c r="B53" s="31" t="s">
        <v>239</v>
      </c>
      <c r="C53" s="31" t="s">
        <v>249</v>
      </c>
      <c r="D53" s="31" t="s">
        <v>31</v>
      </c>
      <c r="E53" s="31" t="s">
        <v>237</v>
      </c>
      <c r="F53" s="32">
        <v>46173</v>
      </c>
      <c r="G53" s="33">
        <v>879.01</v>
      </c>
      <c r="H53" s="67">
        <v>879.01</v>
      </c>
      <c r="I53" s="31" t="s">
        <v>17</v>
      </c>
      <c r="J53" s="31" t="s">
        <v>250</v>
      </c>
      <c r="K53" s="87" t="s">
        <v>54</v>
      </c>
      <c r="L53" s="87" t="s">
        <v>20</v>
      </c>
      <c r="M53" s="31" t="s">
        <v>251</v>
      </c>
    </row>
    <row r="54" spans="1:14" ht="23.25" x14ac:dyDescent="0.25">
      <c r="A54" s="30" t="s">
        <v>248</v>
      </c>
      <c r="B54" s="31" t="s">
        <v>239</v>
      </c>
      <c r="C54" s="31" t="s">
        <v>252</v>
      </c>
      <c r="D54" s="31" t="s">
        <v>31</v>
      </c>
      <c r="E54" s="31" t="s">
        <v>253</v>
      </c>
      <c r="F54" s="32">
        <v>46175</v>
      </c>
      <c r="G54" s="33">
        <v>1879.71</v>
      </c>
      <c r="H54" s="67">
        <v>1879.71</v>
      </c>
      <c r="I54" s="31" t="s">
        <v>17</v>
      </c>
      <c r="J54" s="31" t="s">
        <v>250</v>
      </c>
      <c r="K54" s="87" t="s">
        <v>54</v>
      </c>
      <c r="L54" s="87" t="s">
        <v>20</v>
      </c>
      <c r="M54" s="31" t="s">
        <v>254</v>
      </c>
    </row>
    <row r="55" spans="1:14" ht="23.25" x14ac:dyDescent="0.25">
      <c r="A55" s="30" t="s">
        <v>259</v>
      </c>
      <c r="B55" s="31" t="s">
        <v>239</v>
      </c>
      <c r="C55" s="31" t="s">
        <v>260</v>
      </c>
      <c r="D55" s="31" t="s">
        <v>64</v>
      </c>
      <c r="E55" s="31" t="s">
        <v>237</v>
      </c>
      <c r="F55" s="32">
        <v>46173</v>
      </c>
      <c r="G55" s="33">
        <v>94.9</v>
      </c>
      <c r="H55" s="67">
        <v>94.9</v>
      </c>
      <c r="I55" s="31" t="s">
        <v>17</v>
      </c>
      <c r="J55" s="31" t="s">
        <v>250</v>
      </c>
      <c r="K55" s="87" t="s">
        <v>54</v>
      </c>
      <c r="L55" s="87" t="s">
        <v>20</v>
      </c>
      <c r="M55" s="31" t="s">
        <v>261</v>
      </c>
    </row>
    <row r="56" spans="1:14" ht="23.25" x14ac:dyDescent="0.25">
      <c r="A56" s="30" t="s">
        <v>259</v>
      </c>
      <c r="B56" s="31" t="s">
        <v>239</v>
      </c>
      <c r="C56" s="31" t="s">
        <v>262</v>
      </c>
      <c r="D56" s="31" t="s">
        <v>64</v>
      </c>
      <c r="E56" s="31" t="s">
        <v>237</v>
      </c>
      <c r="F56" s="32">
        <v>46173</v>
      </c>
      <c r="G56" s="33">
        <v>44.95</v>
      </c>
      <c r="H56" s="67">
        <v>44.95</v>
      </c>
      <c r="I56" s="31" t="s">
        <v>17</v>
      </c>
      <c r="J56" s="31" t="s">
        <v>250</v>
      </c>
      <c r="K56" s="87" t="s">
        <v>54</v>
      </c>
      <c r="L56" s="87" t="s">
        <v>20</v>
      </c>
      <c r="M56" s="31" t="s">
        <v>263</v>
      </c>
    </row>
    <row r="57" spans="1:14" ht="23.25" x14ac:dyDescent="0.25">
      <c r="A57" s="30" t="s">
        <v>264</v>
      </c>
      <c r="B57" s="31" t="s">
        <v>265</v>
      </c>
      <c r="C57" s="31" t="s">
        <v>266</v>
      </c>
      <c r="D57" s="31" t="s">
        <v>64</v>
      </c>
      <c r="E57" s="31" t="s">
        <v>237</v>
      </c>
      <c r="F57" s="32">
        <v>46173</v>
      </c>
      <c r="G57" s="33">
        <v>1199.1600000000001</v>
      </c>
      <c r="H57" s="67">
        <v>1199.1600000000001</v>
      </c>
      <c r="I57" s="31" t="s">
        <v>17</v>
      </c>
      <c r="J57" s="31" t="s">
        <v>250</v>
      </c>
      <c r="K57" s="87" t="s">
        <v>54</v>
      </c>
      <c r="L57" s="87" t="s">
        <v>20</v>
      </c>
      <c r="M57" s="31" t="s">
        <v>267</v>
      </c>
    </row>
    <row r="58" spans="1:14" ht="23.25" x14ac:dyDescent="0.25">
      <c r="A58" s="30" t="s">
        <v>264</v>
      </c>
      <c r="B58" s="31" t="s">
        <v>265</v>
      </c>
      <c r="C58" s="31" t="s">
        <v>268</v>
      </c>
      <c r="D58" s="31" t="s">
        <v>64</v>
      </c>
      <c r="E58" s="31" t="s">
        <v>237</v>
      </c>
      <c r="F58" s="32">
        <v>46173</v>
      </c>
      <c r="G58" s="33">
        <v>2362.87</v>
      </c>
      <c r="H58" s="67">
        <v>2362.87</v>
      </c>
      <c r="I58" s="31" t="s">
        <v>17</v>
      </c>
      <c r="J58" s="31" t="s">
        <v>250</v>
      </c>
      <c r="K58" s="87" t="s">
        <v>54</v>
      </c>
      <c r="L58" s="87" t="s">
        <v>20</v>
      </c>
      <c r="M58" s="31" t="s">
        <v>269</v>
      </c>
    </row>
    <row r="59" spans="1:14" ht="23.25" x14ac:dyDescent="0.25">
      <c r="A59" s="30" t="s">
        <v>270</v>
      </c>
      <c r="B59" s="31" t="s">
        <v>265</v>
      </c>
      <c r="C59" s="31" t="s">
        <v>271</v>
      </c>
      <c r="D59" s="31" t="s">
        <v>64</v>
      </c>
      <c r="E59" s="31" t="s">
        <v>272</v>
      </c>
      <c r="F59" s="32">
        <v>46176</v>
      </c>
      <c r="G59" s="33">
        <v>1499.08</v>
      </c>
      <c r="H59" s="67">
        <v>1499.08</v>
      </c>
      <c r="I59" s="31" t="s">
        <v>17</v>
      </c>
      <c r="J59" s="31" t="s">
        <v>250</v>
      </c>
      <c r="K59" s="87" t="s">
        <v>54</v>
      </c>
      <c r="L59" s="87" t="s">
        <v>20</v>
      </c>
      <c r="M59" s="31" t="s">
        <v>273</v>
      </c>
    </row>
    <row r="60" spans="1:14" ht="23.25" x14ac:dyDescent="0.25">
      <c r="A60" s="30" t="s">
        <v>274</v>
      </c>
      <c r="B60" s="31" t="s">
        <v>265</v>
      </c>
      <c r="C60" s="31" t="s">
        <v>275</v>
      </c>
      <c r="D60" s="31" t="s">
        <v>64</v>
      </c>
      <c r="E60" s="31" t="s">
        <v>55</v>
      </c>
      <c r="F60" s="32">
        <v>46171</v>
      </c>
      <c r="G60" s="33">
        <v>3538.77</v>
      </c>
      <c r="H60" s="67">
        <v>3538.77</v>
      </c>
      <c r="I60" s="31" t="s">
        <v>17</v>
      </c>
      <c r="J60" s="31" t="s">
        <v>250</v>
      </c>
      <c r="K60" s="87" t="s">
        <v>54</v>
      </c>
      <c r="L60" s="87" t="s">
        <v>20</v>
      </c>
      <c r="M60" s="31" t="s">
        <v>276</v>
      </c>
    </row>
    <row r="61" spans="1:14" ht="23.25" x14ac:dyDescent="0.25">
      <c r="A61" s="30" t="s">
        <v>288</v>
      </c>
      <c r="B61" s="31" t="s">
        <v>281</v>
      </c>
      <c r="C61" s="31" t="s">
        <v>289</v>
      </c>
      <c r="D61" s="31" t="s">
        <v>290</v>
      </c>
      <c r="E61" s="31" t="s">
        <v>237</v>
      </c>
      <c r="F61" s="32">
        <v>46173</v>
      </c>
      <c r="G61" s="33">
        <v>902.5</v>
      </c>
      <c r="H61" s="67">
        <v>902.5</v>
      </c>
      <c r="I61" s="31" t="s">
        <v>17</v>
      </c>
      <c r="J61" s="31" t="s">
        <v>18</v>
      </c>
      <c r="K61" s="87" t="s">
        <v>291</v>
      </c>
      <c r="L61" s="87" t="s">
        <v>290</v>
      </c>
      <c r="M61" s="31" t="s">
        <v>292</v>
      </c>
      <c r="N61" s="31"/>
    </row>
    <row r="62" spans="1:14" ht="23.25" x14ac:dyDescent="0.25">
      <c r="A62" s="30" t="s">
        <v>297</v>
      </c>
      <c r="B62" s="31" t="s">
        <v>281</v>
      </c>
      <c r="C62" s="31" t="s">
        <v>298</v>
      </c>
      <c r="D62" s="31" t="s">
        <v>29</v>
      </c>
      <c r="E62" s="31" t="s">
        <v>136</v>
      </c>
      <c r="F62" s="32">
        <v>46172</v>
      </c>
      <c r="G62" s="33">
        <v>1849.9</v>
      </c>
      <c r="H62" s="67">
        <v>1849.9</v>
      </c>
      <c r="I62" s="31" t="s">
        <v>17</v>
      </c>
      <c r="J62" s="31" t="s">
        <v>18</v>
      </c>
      <c r="K62" s="87" t="s">
        <v>299</v>
      </c>
      <c r="L62" s="87" t="s">
        <v>36</v>
      </c>
      <c r="M62" s="31" t="s">
        <v>300</v>
      </c>
      <c r="N62" s="31"/>
    </row>
    <row r="63" spans="1:14" ht="23.25" x14ac:dyDescent="0.25">
      <c r="A63" s="30" t="s">
        <v>297</v>
      </c>
      <c r="B63" s="31" t="s">
        <v>281</v>
      </c>
      <c r="C63" s="31" t="s">
        <v>301</v>
      </c>
      <c r="D63" s="31" t="s">
        <v>149</v>
      </c>
      <c r="E63" s="31" t="s">
        <v>149</v>
      </c>
      <c r="F63" s="32">
        <v>46127</v>
      </c>
      <c r="G63" s="33">
        <v>12.71</v>
      </c>
      <c r="H63" s="67">
        <v>12.71</v>
      </c>
      <c r="I63" s="31" t="s">
        <v>17</v>
      </c>
      <c r="J63" s="31" t="s">
        <v>20</v>
      </c>
      <c r="K63" s="87" t="s">
        <v>20</v>
      </c>
      <c r="L63" s="87" t="s">
        <v>20</v>
      </c>
      <c r="M63" s="31" t="s">
        <v>302</v>
      </c>
    </row>
    <row r="64" spans="1:14" ht="23.25" x14ac:dyDescent="0.25">
      <c r="A64" s="30" t="s">
        <v>297</v>
      </c>
      <c r="B64" s="31" t="s">
        <v>281</v>
      </c>
      <c r="C64" s="31" t="s">
        <v>303</v>
      </c>
      <c r="D64" s="31" t="s">
        <v>304</v>
      </c>
      <c r="E64" s="31" t="s">
        <v>305</v>
      </c>
      <c r="F64" s="32">
        <v>46158</v>
      </c>
      <c r="G64" s="33">
        <v>2188</v>
      </c>
      <c r="H64" s="67">
        <v>2188</v>
      </c>
      <c r="I64" s="31" t="s">
        <v>17</v>
      </c>
      <c r="J64" s="31" t="s">
        <v>18</v>
      </c>
      <c r="K64" s="87" t="s">
        <v>306</v>
      </c>
      <c r="L64" s="87" t="s">
        <v>304</v>
      </c>
      <c r="M64" s="31" t="s">
        <v>307</v>
      </c>
    </row>
    <row r="65" spans="1:13" ht="19.5" thickBot="1" x14ac:dyDescent="0.35">
      <c r="A65" s="34" t="s">
        <v>308</v>
      </c>
      <c r="B65" s="35"/>
      <c r="C65" s="35"/>
      <c r="D65" s="35"/>
      <c r="E65" s="35"/>
      <c r="F65" s="35"/>
      <c r="G65" s="35"/>
      <c r="H65" s="68">
        <f>SUBTOTAL(9,H34:H64)</f>
        <v>137765.15999999997</v>
      </c>
      <c r="I65" s="35"/>
      <c r="J65" s="35"/>
      <c r="K65" s="108"/>
      <c r="L65" s="88"/>
      <c r="M65" s="35"/>
    </row>
    <row r="66" spans="1:13" ht="45.75" x14ac:dyDescent="0.25">
      <c r="A66" s="36" t="s">
        <v>316</v>
      </c>
      <c r="B66" s="37" t="s">
        <v>310</v>
      </c>
      <c r="C66" s="37" t="s">
        <v>317</v>
      </c>
      <c r="D66" s="37" t="s">
        <v>213</v>
      </c>
      <c r="E66" s="37" t="s">
        <v>213</v>
      </c>
      <c r="F66" s="38">
        <v>46083</v>
      </c>
      <c r="G66" s="39">
        <v>2500</v>
      </c>
      <c r="H66" s="69">
        <v>2500</v>
      </c>
      <c r="I66" s="37" t="s">
        <v>17</v>
      </c>
      <c r="J66" s="37"/>
      <c r="K66" s="109" t="s">
        <v>20</v>
      </c>
      <c r="L66" s="109">
        <v>46070</v>
      </c>
      <c r="M66" s="37" t="s">
        <v>319</v>
      </c>
    </row>
    <row r="67" spans="1:13" ht="45.75" x14ac:dyDescent="0.25">
      <c r="A67" s="36" t="s">
        <v>773</v>
      </c>
      <c r="B67" s="37" t="s">
        <v>310</v>
      </c>
      <c r="C67" s="37"/>
      <c r="D67" s="38">
        <v>46078</v>
      </c>
      <c r="E67" s="37" t="s">
        <v>213</v>
      </c>
      <c r="F67" s="38">
        <v>46078</v>
      </c>
      <c r="G67" s="39">
        <v>1075</v>
      </c>
      <c r="H67" s="69">
        <v>1075</v>
      </c>
      <c r="I67" s="37" t="s">
        <v>17</v>
      </c>
      <c r="J67" s="37"/>
      <c r="K67" s="109" t="s">
        <v>20</v>
      </c>
      <c r="L67" s="109">
        <v>46078</v>
      </c>
      <c r="M67" s="37" t="s">
        <v>774</v>
      </c>
    </row>
    <row r="68" spans="1:13" ht="158.25" x14ac:dyDescent="0.25">
      <c r="A68" s="36" t="s">
        <v>320</v>
      </c>
      <c r="B68" s="37" t="s">
        <v>310</v>
      </c>
      <c r="C68" s="37" t="s">
        <v>321</v>
      </c>
      <c r="D68" s="37" t="s">
        <v>133</v>
      </c>
      <c r="E68" s="37" t="s">
        <v>15</v>
      </c>
      <c r="F68" s="38">
        <v>46139</v>
      </c>
      <c r="G68" s="39">
        <v>50000</v>
      </c>
      <c r="H68" s="69">
        <v>25000</v>
      </c>
      <c r="I68" s="37" t="s">
        <v>17</v>
      </c>
      <c r="J68" s="37" t="s">
        <v>20</v>
      </c>
      <c r="K68" s="109" t="s">
        <v>20</v>
      </c>
      <c r="L68" s="89" t="s">
        <v>20</v>
      </c>
      <c r="M68" s="37" t="s">
        <v>322</v>
      </c>
    </row>
    <row r="69" spans="1:13" ht="19.5" thickBot="1" x14ac:dyDescent="0.35">
      <c r="A69" s="40" t="s">
        <v>323</v>
      </c>
      <c r="B69" s="41"/>
      <c r="C69" s="41"/>
      <c r="D69" s="41"/>
      <c r="E69" s="41"/>
      <c r="F69" s="41"/>
      <c r="G69" s="41"/>
      <c r="H69" s="70">
        <f>SUBTOTAL(9,H66:H68)</f>
        <v>28575</v>
      </c>
      <c r="I69" s="41"/>
      <c r="J69" s="41"/>
      <c r="K69" s="110"/>
      <c r="L69" s="90"/>
      <c r="M69" s="41"/>
    </row>
    <row r="70" spans="1:13" ht="23.25" x14ac:dyDescent="0.25">
      <c r="A70" s="42" t="s">
        <v>324</v>
      </c>
      <c r="B70" s="43" t="s">
        <v>325</v>
      </c>
      <c r="C70" s="43" t="s">
        <v>20</v>
      </c>
      <c r="D70" s="43" t="s">
        <v>29</v>
      </c>
      <c r="E70" s="43" t="s">
        <v>29</v>
      </c>
      <c r="F70" s="44">
        <v>46142</v>
      </c>
      <c r="G70" s="45">
        <v>6868.72</v>
      </c>
      <c r="H70" s="71">
        <v>6868.72</v>
      </c>
      <c r="I70" s="43" t="s">
        <v>17</v>
      </c>
      <c r="J70" s="43" t="s">
        <v>20</v>
      </c>
      <c r="K70" s="111" t="s">
        <v>20</v>
      </c>
      <c r="L70" s="91" t="s">
        <v>20</v>
      </c>
      <c r="M70" s="43" t="s">
        <v>326</v>
      </c>
    </row>
    <row r="71" spans="1:13" ht="23.25" x14ac:dyDescent="0.25">
      <c r="A71" s="42" t="s">
        <v>327</v>
      </c>
      <c r="B71" s="43" t="s">
        <v>325</v>
      </c>
      <c r="C71" s="43" t="s">
        <v>20</v>
      </c>
      <c r="D71" s="43" t="s">
        <v>29</v>
      </c>
      <c r="E71" s="43" t="s">
        <v>29</v>
      </c>
      <c r="F71" s="44">
        <v>46142</v>
      </c>
      <c r="G71" s="45">
        <v>21697.98</v>
      </c>
      <c r="H71" s="71">
        <v>21697.98</v>
      </c>
      <c r="I71" s="43" t="s">
        <v>17</v>
      </c>
      <c r="J71" s="43" t="s">
        <v>20</v>
      </c>
      <c r="K71" s="111" t="s">
        <v>20</v>
      </c>
      <c r="L71" s="91" t="s">
        <v>20</v>
      </c>
      <c r="M71" s="43" t="s">
        <v>328</v>
      </c>
    </row>
    <row r="72" spans="1:13" ht="23.25" x14ac:dyDescent="0.25">
      <c r="A72" s="42" t="s">
        <v>329</v>
      </c>
      <c r="B72" s="43" t="s">
        <v>330</v>
      </c>
      <c r="C72" s="43" t="s">
        <v>331</v>
      </c>
      <c r="D72" s="43" t="s">
        <v>16</v>
      </c>
      <c r="E72" s="43" t="s">
        <v>16</v>
      </c>
      <c r="F72" s="44">
        <v>46153</v>
      </c>
      <c r="G72" s="45">
        <v>3750</v>
      </c>
      <c r="H72" s="71">
        <v>3750</v>
      </c>
      <c r="I72" s="43" t="s">
        <v>17</v>
      </c>
      <c r="J72" s="43" t="s">
        <v>20</v>
      </c>
      <c r="K72" s="111" t="s">
        <v>20</v>
      </c>
      <c r="L72" s="91" t="s">
        <v>20</v>
      </c>
      <c r="M72" s="43" t="s">
        <v>332</v>
      </c>
    </row>
    <row r="73" spans="1:13" ht="23.25" x14ac:dyDescent="0.25">
      <c r="A73" s="42" t="s">
        <v>336</v>
      </c>
      <c r="B73" s="43" t="s">
        <v>325</v>
      </c>
      <c r="C73" s="43" t="s">
        <v>20</v>
      </c>
      <c r="D73" s="43" t="s">
        <v>29</v>
      </c>
      <c r="E73" s="43" t="s">
        <v>29</v>
      </c>
      <c r="F73" s="44">
        <v>46142</v>
      </c>
      <c r="G73" s="45">
        <v>54025</v>
      </c>
      <c r="H73" s="71">
        <v>54025</v>
      </c>
      <c r="I73" s="43" t="s">
        <v>91</v>
      </c>
      <c r="J73" s="43" t="s">
        <v>20</v>
      </c>
      <c r="K73" s="111" t="s">
        <v>20</v>
      </c>
      <c r="L73" s="91" t="s">
        <v>20</v>
      </c>
      <c r="M73" s="43" t="s">
        <v>337</v>
      </c>
    </row>
    <row r="74" spans="1:13" ht="23.25" x14ac:dyDescent="0.25">
      <c r="A74" s="42" t="s">
        <v>336</v>
      </c>
      <c r="B74" s="43" t="s">
        <v>325</v>
      </c>
      <c r="C74" s="43" t="s">
        <v>20</v>
      </c>
      <c r="D74" s="43" t="s">
        <v>29</v>
      </c>
      <c r="E74" s="43" t="s">
        <v>29</v>
      </c>
      <c r="F74" s="44">
        <v>46142</v>
      </c>
      <c r="G74" s="45">
        <v>82037.5</v>
      </c>
      <c r="H74" s="71">
        <v>82037.5</v>
      </c>
      <c r="I74" s="43" t="s">
        <v>91</v>
      </c>
      <c r="J74" s="43" t="s">
        <v>20</v>
      </c>
      <c r="K74" s="111" t="s">
        <v>20</v>
      </c>
      <c r="L74" s="91" t="s">
        <v>20</v>
      </c>
      <c r="M74" s="43" t="s">
        <v>338</v>
      </c>
    </row>
    <row r="75" spans="1:13" ht="23.25" x14ac:dyDescent="0.25">
      <c r="A75" s="42" t="s">
        <v>339</v>
      </c>
      <c r="B75" s="43" t="s">
        <v>325</v>
      </c>
      <c r="C75" s="43" t="s">
        <v>20</v>
      </c>
      <c r="D75" s="43" t="s">
        <v>29</v>
      </c>
      <c r="E75" s="43" t="s">
        <v>29</v>
      </c>
      <c r="F75" s="44">
        <v>46142</v>
      </c>
      <c r="G75" s="45">
        <v>27687.5</v>
      </c>
      <c r="H75" s="71">
        <v>27687.5</v>
      </c>
      <c r="I75" s="43" t="s">
        <v>108</v>
      </c>
      <c r="J75" s="43" t="s">
        <v>20</v>
      </c>
      <c r="K75" s="111" t="s">
        <v>20</v>
      </c>
      <c r="L75" s="91" t="s">
        <v>20</v>
      </c>
      <c r="M75" s="43" t="s">
        <v>340</v>
      </c>
    </row>
    <row r="76" spans="1:13" ht="19.5" thickBot="1" x14ac:dyDescent="0.35">
      <c r="A76" s="46" t="s">
        <v>341</v>
      </c>
      <c r="B76" s="47"/>
      <c r="C76" s="47"/>
      <c r="D76" s="47"/>
      <c r="E76" s="47"/>
      <c r="F76" s="47"/>
      <c r="G76" s="47"/>
      <c r="H76" s="72">
        <f>SUBTOTAL(9,H70:H75)</f>
        <v>196066.7</v>
      </c>
      <c r="I76" s="47"/>
      <c r="J76" s="47"/>
      <c r="K76" s="112"/>
      <c r="L76" s="92"/>
      <c r="M76" s="47"/>
    </row>
    <row r="77" spans="1:13" ht="23.25" x14ac:dyDescent="0.25">
      <c r="A77" s="49" t="s">
        <v>348</v>
      </c>
      <c r="B77" s="50" t="s">
        <v>139</v>
      </c>
      <c r="C77" s="50" t="s">
        <v>349</v>
      </c>
      <c r="D77" s="50" t="s">
        <v>29</v>
      </c>
      <c r="E77" s="50" t="s">
        <v>136</v>
      </c>
      <c r="F77" s="51">
        <v>46172</v>
      </c>
      <c r="G77" s="52">
        <v>2083.63</v>
      </c>
      <c r="H77" s="73">
        <v>2083.63</v>
      </c>
      <c r="I77" s="50" t="s">
        <v>108</v>
      </c>
      <c r="J77" s="50" t="s">
        <v>20</v>
      </c>
      <c r="K77" s="113" t="s">
        <v>20</v>
      </c>
      <c r="L77" s="93" t="s">
        <v>20</v>
      </c>
      <c r="M77" s="50" t="s">
        <v>350</v>
      </c>
    </row>
    <row r="78" spans="1:13" ht="23.25" x14ac:dyDescent="0.25">
      <c r="A78" s="49" t="s">
        <v>348</v>
      </c>
      <c r="B78" s="50" t="s">
        <v>139</v>
      </c>
      <c r="C78" s="50" t="s">
        <v>351</v>
      </c>
      <c r="D78" s="50" t="s">
        <v>19</v>
      </c>
      <c r="E78" s="50" t="s">
        <v>155</v>
      </c>
      <c r="F78" s="51">
        <v>46170</v>
      </c>
      <c r="G78" s="52">
        <v>2881.75</v>
      </c>
      <c r="H78" s="73">
        <v>2881.75</v>
      </c>
      <c r="I78" s="50" t="s">
        <v>108</v>
      </c>
      <c r="J78" s="50" t="s">
        <v>20</v>
      </c>
      <c r="K78" s="113" t="s">
        <v>20</v>
      </c>
      <c r="L78" s="93" t="s">
        <v>20</v>
      </c>
      <c r="M78" s="50" t="s">
        <v>352</v>
      </c>
    </row>
    <row r="79" spans="1:13" ht="34.5" x14ac:dyDescent="0.25">
      <c r="A79" s="49" t="s">
        <v>353</v>
      </c>
      <c r="B79" s="50" t="s">
        <v>139</v>
      </c>
      <c r="C79" s="50" t="s">
        <v>354</v>
      </c>
      <c r="D79" s="50" t="s">
        <v>124</v>
      </c>
      <c r="E79" s="50" t="s">
        <v>305</v>
      </c>
      <c r="F79" s="51">
        <v>46158</v>
      </c>
      <c r="G79" s="52">
        <v>3278.5</v>
      </c>
      <c r="H79" s="73">
        <v>3278.5</v>
      </c>
      <c r="I79" s="50" t="s">
        <v>108</v>
      </c>
      <c r="J79" s="50" t="s">
        <v>20</v>
      </c>
      <c r="K79" s="113" t="s">
        <v>20</v>
      </c>
      <c r="L79" s="93" t="s">
        <v>20</v>
      </c>
      <c r="M79" s="50" t="s">
        <v>355</v>
      </c>
    </row>
    <row r="80" spans="1:13" ht="23.25" x14ac:dyDescent="0.25">
      <c r="A80" s="49" t="s">
        <v>356</v>
      </c>
      <c r="B80" s="50" t="s">
        <v>139</v>
      </c>
      <c r="C80" s="50" t="s">
        <v>357</v>
      </c>
      <c r="D80" s="50" t="s">
        <v>41</v>
      </c>
      <c r="E80" s="50" t="s">
        <v>55</v>
      </c>
      <c r="F80" s="51">
        <v>46171</v>
      </c>
      <c r="G80" s="52">
        <v>41.43</v>
      </c>
      <c r="H80" s="73">
        <v>41.43</v>
      </c>
      <c r="I80" s="50" t="s">
        <v>108</v>
      </c>
      <c r="J80" s="50" t="s">
        <v>20</v>
      </c>
      <c r="K80" s="113" t="s">
        <v>20</v>
      </c>
      <c r="L80" s="93" t="s">
        <v>20</v>
      </c>
      <c r="M80" s="50" t="s">
        <v>358</v>
      </c>
    </row>
    <row r="81" spans="1:13" s="48" customFormat="1" ht="24" x14ac:dyDescent="0.3">
      <c r="A81" s="49" t="s">
        <v>356</v>
      </c>
      <c r="B81" s="50" t="s">
        <v>139</v>
      </c>
      <c r="C81" s="50" t="s">
        <v>359</v>
      </c>
      <c r="D81" s="50" t="s">
        <v>96</v>
      </c>
      <c r="E81" s="50" t="s">
        <v>305</v>
      </c>
      <c r="F81" s="51">
        <v>46158</v>
      </c>
      <c r="G81" s="52">
        <v>161.4</v>
      </c>
      <c r="H81" s="73">
        <v>161.4</v>
      </c>
      <c r="I81" s="50" t="s">
        <v>108</v>
      </c>
      <c r="J81" s="50" t="s">
        <v>20</v>
      </c>
      <c r="K81" s="113" t="s">
        <v>20</v>
      </c>
      <c r="L81" s="93" t="s">
        <v>20</v>
      </c>
      <c r="M81" s="50" t="s">
        <v>360</v>
      </c>
    </row>
    <row r="82" spans="1:13" ht="23.25" x14ac:dyDescent="0.25">
      <c r="A82" s="49" t="s">
        <v>356</v>
      </c>
      <c r="B82" s="50" t="s">
        <v>139</v>
      </c>
      <c r="C82" s="50" t="s">
        <v>361</v>
      </c>
      <c r="D82" s="50" t="s">
        <v>68</v>
      </c>
      <c r="E82" s="50" t="s">
        <v>305</v>
      </c>
      <c r="F82" s="51">
        <v>46158</v>
      </c>
      <c r="G82" s="52">
        <v>2574.2199999999998</v>
      </c>
      <c r="H82" s="73">
        <v>2574.2199999999998</v>
      </c>
      <c r="I82" s="50" t="s">
        <v>108</v>
      </c>
      <c r="J82" s="50" t="s">
        <v>20</v>
      </c>
      <c r="K82" s="113" t="s">
        <v>20</v>
      </c>
      <c r="L82" s="93" t="s">
        <v>20</v>
      </c>
      <c r="M82" s="50" t="s">
        <v>362</v>
      </c>
    </row>
    <row r="83" spans="1:13" ht="23.25" x14ac:dyDescent="0.25">
      <c r="A83" s="49" t="s">
        <v>356</v>
      </c>
      <c r="B83" s="50" t="s">
        <v>139</v>
      </c>
      <c r="C83" s="50" t="s">
        <v>363</v>
      </c>
      <c r="D83" s="50" t="s">
        <v>124</v>
      </c>
      <c r="E83" s="50" t="s">
        <v>364</v>
      </c>
      <c r="F83" s="51">
        <v>46159</v>
      </c>
      <c r="G83" s="52">
        <v>203.39</v>
      </c>
      <c r="H83" s="73">
        <v>203.39</v>
      </c>
      <c r="I83" s="50" t="s">
        <v>108</v>
      </c>
      <c r="J83" s="50" t="s">
        <v>20</v>
      </c>
      <c r="K83" s="113" t="s">
        <v>20</v>
      </c>
      <c r="L83" s="93" t="s">
        <v>20</v>
      </c>
      <c r="M83" s="50" t="s">
        <v>365</v>
      </c>
    </row>
    <row r="84" spans="1:13" ht="23.25" x14ac:dyDescent="0.25">
      <c r="A84" s="49" t="s">
        <v>356</v>
      </c>
      <c r="B84" s="50" t="s">
        <v>139</v>
      </c>
      <c r="C84" s="50" t="s">
        <v>366</v>
      </c>
      <c r="D84" s="50" t="s">
        <v>49</v>
      </c>
      <c r="E84" s="50" t="s">
        <v>41</v>
      </c>
      <c r="F84" s="51">
        <v>46160</v>
      </c>
      <c r="G84" s="52">
        <v>102.72</v>
      </c>
      <c r="H84" s="73">
        <v>102.72</v>
      </c>
      <c r="I84" s="50" t="s">
        <v>108</v>
      </c>
      <c r="J84" s="50" t="s">
        <v>20</v>
      </c>
      <c r="K84" s="113" t="s">
        <v>20</v>
      </c>
      <c r="L84" s="93" t="s">
        <v>20</v>
      </c>
      <c r="M84" s="50" t="s">
        <v>367</v>
      </c>
    </row>
    <row r="85" spans="1:13" ht="23.25" x14ac:dyDescent="0.25">
      <c r="A85" s="49" t="s">
        <v>356</v>
      </c>
      <c r="B85" s="50" t="s">
        <v>139</v>
      </c>
      <c r="C85" s="50" t="s">
        <v>368</v>
      </c>
      <c r="D85" s="50" t="s">
        <v>69</v>
      </c>
      <c r="E85" s="50" t="s">
        <v>136</v>
      </c>
      <c r="F85" s="51">
        <v>46172</v>
      </c>
      <c r="G85" s="52">
        <v>179.86</v>
      </c>
      <c r="H85" s="73">
        <v>179.86</v>
      </c>
      <c r="I85" s="50" t="s">
        <v>108</v>
      </c>
      <c r="J85" s="50" t="s">
        <v>20</v>
      </c>
      <c r="K85" s="113" t="s">
        <v>20</v>
      </c>
      <c r="L85" s="93" t="s">
        <v>45</v>
      </c>
      <c r="M85" s="50" t="s">
        <v>369</v>
      </c>
    </row>
    <row r="86" spans="1:13" ht="23.25" x14ac:dyDescent="0.25">
      <c r="A86" s="49" t="s">
        <v>356</v>
      </c>
      <c r="B86" s="50" t="s">
        <v>139</v>
      </c>
      <c r="C86" s="50" t="s">
        <v>370</v>
      </c>
      <c r="D86" s="50" t="s">
        <v>15</v>
      </c>
      <c r="E86" s="50" t="s">
        <v>41</v>
      </c>
      <c r="F86" s="51">
        <v>46160</v>
      </c>
      <c r="G86" s="52">
        <v>7116.85</v>
      </c>
      <c r="H86" s="73">
        <v>7116.85</v>
      </c>
      <c r="I86" s="50" t="s">
        <v>108</v>
      </c>
      <c r="J86" s="50" t="s">
        <v>20</v>
      </c>
      <c r="K86" s="113" t="s">
        <v>20</v>
      </c>
      <c r="L86" s="93" t="s">
        <v>20</v>
      </c>
      <c r="M86" s="50" t="s">
        <v>371</v>
      </c>
    </row>
    <row r="87" spans="1:13" ht="23.25" x14ac:dyDescent="0.25">
      <c r="A87" s="49" t="s">
        <v>356</v>
      </c>
      <c r="B87" s="50" t="s">
        <v>139</v>
      </c>
      <c r="C87" s="50" t="s">
        <v>372</v>
      </c>
      <c r="D87" s="50" t="s">
        <v>36</v>
      </c>
      <c r="E87" s="50" t="s">
        <v>163</v>
      </c>
      <c r="F87" s="51">
        <v>46165</v>
      </c>
      <c r="G87" s="52">
        <v>145.28</v>
      </c>
      <c r="H87" s="73">
        <v>145.28</v>
      </c>
      <c r="I87" s="50" t="s">
        <v>108</v>
      </c>
      <c r="J87" s="50" t="s">
        <v>20</v>
      </c>
      <c r="K87" s="113" t="s">
        <v>20</v>
      </c>
      <c r="L87" s="93" t="s">
        <v>20</v>
      </c>
      <c r="M87" s="50" t="s">
        <v>373</v>
      </c>
    </row>
    <row r="88" spans="1:13" ht="23.25" x14ac:dyDescent="0.25">
      <c r="A88" s="49" t="s">
        <v>356</v>
      </c>
      <c r="B88" s="50" t="s">
        <v>139</v>
      </c>
      <c r="C88" s="50" t="s">
        <v>374</v>
      </c>
      <c r="D88" s="50" t="s">
        <v>124</v>
      </c>
      <c r="E88" s="50" t="s">
        <v>163</v>
      </c>
      <c r="F88" s="51">
        <v>46165</v>
      </c>
      <c r="G88" s="52">
        <v>2530.41</v>
      </c>
      <c r="H88" s="73">
        <v>2530.41</v>
      </c>
      <c r="I88" s="50" t="s">
        <v>108</v>
      </c>
      <c r="J88" s="50" t="s">
        <v>20</v>
      </c>
      <c r="K88" s="113" t="s">
        <v>20</v>
      </c>
      <c r="L88" s="93" t="s">
        <v>20</v>
      </c>
      <c r="M88" s="50" t="s">
        <v>375</v>
      </c>
    </row>
    <row r="89" spans="1:13" ht="23.25" x14ac:dyDescent="0.25">
      <c r="A89" s="49" t="s">
        <v>356</v>
      </c>
      <c r="B89" s="50" t="s">
        <v>139</v>
      </c>
      <c r="C89" s="50" t="s">
        <v>376</v>
      </c>
      <c r="D89" s="50" t="s">
        <v>45</v>
      </c>
      <c r="E89" s="50" t="s">
        <v>189</v>
      </c>
      <c r="F89" s="51">
        <v>46166</v>
      </c>
      <c r="G89" s="52">
        <v>108.99</v>
      </c>
      <c r="H89" s="73">
        <v>108.99</v>
      </c>
      <c r="I89" s="50" t="s">
        <v>108</v>
      </c>
      <c r="J89" s="50" t="s">
        <v>20</v>
      </c>
      <c r="K89" s="113" t="s">
        <v>20</v>
      </c>
      <c r="L89" s="93" t="s">
        <v>20</v>
      </c>
      <c r="M89" s="50" t="s">
        <v>377</v>
      </c>
    </row>
    <row r="90" spans="1:13" ht="23.25" x14ac:dyDescent="0.25">
      <c r="A90" s="49" t="s">
        <v>356</v>
      </c>
      <c r="B90" s="50" t="s">
        <v>139</v>
      </c>
      <c r="C90" s="50" t="s">
        <v>378</v>
      </c>
      <c r="D90" s="50" t="s">
        <v>49</v>
      </c>
      <c r="E90" s="50" t="s">
        <v>103</v>
      </c>
      <c r="F90" s="51">
        <v>46167</v>
      </c>
      <c r="G90" s="52">
        <v>10190.02</v>
      </c>
      <c r="H90" s="73">
        <v>10190.02</v>
      </c>
      <c r="I90" s="50" t="s">
        <v>108</v>
      </c>
      <c r="J90" s="50" t="s">
        <v>20</v>
      </c>
      <c r="K90" s="113" t="s">
        <v>20</v>
      </c>
      <c r="L90" s="93" t="s">
        <v>20</v>
      </c>
      <c r="M90" s="50" t="s">
        <v>379</v>
      </c>
    </row>
    <row r="91" spans="1:13" ht="23.25" x14ac:dyDescent="0.25">
      <c r="A91" s="49" t="s">
        <v>356</v>
      </c>
      <c r="B91" s="50" t="s">
        <v>139</v>
      </c>
      <c r="C91" s="50" t="s">
        <v>380</v>
      </c>
      <c r="D91" s="50" t="s">
        <v>30</v>
      </c>
      <c r="E91" s="50" t="s">
        <v>103</v>
      </c>
      <c r="F91" s="51">
        <v>46167</v>
      </c>
      <c r="G91" s="52">
        <v>143.58000000000001</v>
      </c>
      <c r="H91" s="73">
        <v>143.58000000000001</v>
      </c>
      <c r="I91" s="50" t="s">
        <v>108</v>
      </c>
      <c r="J91" s="50" t="s">
        <v>20</v>
      </c>
      <c r="K91" s="113" t="s">
        <v>20</v>
      </c>
      <c r="L91" s="93" t="s">
        <v>20</v>
      </c>
      <c r="M91" s="50" t="s">
        <v>365</v>
      </c>
    </row>
    <row r="92" spans="1:13" ht="23.25" x14ac:dyDescent="0.25">
      <c r="A92" s="49" t="s">
        <v>356</v>
      </c>
      <c r="B92" s="50" t="s">
        <v>139</v>
      </c>
      <c r="C92" s="50" t="s">
        <v>381</v>
      </c>
      <c r="D92" s="50" t="s">
        <v>54</v>
      </c>
      <c r="E92" s="50" t="s">
        <v>382</v>
      </c>
      <c r="F92" s="51">
        <v>46168</v>
      </c>
      <c r="G92" s="52">
        <v>14.95</v>
      </c>
      <c r="H92" s="73">
        <v>14.95</v>
      </c>
      <c r="I92" s="50" t="s">
        <v>108</v>
      </c>
      <c r="J92" s="50" t="s">
        <v>20</v>
      </c>
      <c r="K92" s="113" t="s">
        <v>20</v>
      </c>
      <c r="L92" s="93" t="s">
        <v>20</v>
      </c>
      <c r="M92" s="50" t="s">
        <v>367</v>
      </c>
    </row>
    <row r="93" spans="1:13" ht="23.25" x14ac:dyDescent="0.25">
      <c r="A93" s="49" t="s">
        <v>356</v>
      </c>
      <c r="B93" s="50" t="s">
        <v>139</v>
      </c>
      <c r="C93" s="50" t="s">
        <v>383</v>
      </c>
      <c r="D93" s="50" t="s">
        <v>54</v>
      </c>
      <c r="E93" s="50" t="s">
        <v>382</v>
      </c>
      <c r="F93" s="51">
        <v>46168</v>
      </c>
      <c r="G93" s="52">
        <v>450.21</v>
      </c>
      <c r="H93" s="73">
        <v>450.21</v>
      </c>
      <c r="I93" s="50" t="s">
        <v>108</v>
      </c>
      <c r="J93" s="50" t="s">
        <v>20</v>
      </c>
      <c r="K93" s="113" t="s">
        <v>20</v>
      </c>
      <c r="L93" s="93" t="s">
        <v>20</v>
      </c>
      <c r="M93" s="50" t="s">
        <v>365</v>
      </c>
    </row>
    <row r="94" spans="1:13" ht="23.25" x14ac:dyDescent="0.25">
      <c r="A94" s="49" t="s">
        <v>384</v>
      </c>
      <c r="B94" s="50" t="s">
        <v>265</v>
      </c>
      <c r="C94" s="50" t="s">
        <v>385</v>
      </c>
      <c r="D94" s="50" t="s">
        <v>29</v>
      </c>
      <c r="E94" s="50" t="s">
        <v>136</v>
      </c>
      <c r="F94" s="51">
        <v>46172</v>
      </c>
      <c r="G94" s="52">
        <v>755.5</v>
      </c>
      <c r="H94" s="73">
        <v>755.5</v>
      </c>
      <c r="I94" s="50" t="s">
        <v>108</v>
      </c>
      <c r="J94" s="50" t="s">
        <v>20</v>
      </c>
      <c r="K94" s="113" t="s">
        <v>20</v>
      </c>
      <c r="L94" s="93" t="s">
        <v>20</v>
      </c>
      <c r="M94" s="50" t="s">
        <v>386</v>
      </c>
    </row>
    <row r="95" spans="1:13" ht="19.5" thickBot="1" x14ac:dyDescent="0.35">
      <c r="A95" s="53" t="s">
        <v>387</v>
      </c>
      <c r="B95" s="53"/>
      <c r="C95" s="53"/>
      <c r="D95" s="53"/>
      <c r="E95" s="53"/>
      <c r="F95" s="53"/>
      <c r="G95" s="53"/>
      <c r="H95" s="78">
        <f>SUBTOTAL(9,H77:H94)</f>
        <v>32962.69</v>
      </c>
      <c r="I95" s="53"/>
      <c r="J95" s="53"/>
      <c r="K95" s="114"/>
      <c r="L95" s="94"/>
      <c r="M95" s="53"/>
    </row>
    <row r="96" spans="1:13" ht="23.25" x14ac:dyDescent="0.25">
      <c r="A96" s="54" t="s">
        <v>388</v>
      </c>
      <c r="B96" s="55" t="s">
        <v>389</v>
      </c>
      <c r="C96" s="55" t="s">
        <v>390</v>
      </c>
      <c r="D96" s="55" t="s">
        <v>31</v>
      </c>
      <c r="E96" s="55" t="s">
        <v>31</v>
      </c>
      <c r="F96" s="56">
        <v>46150</v>
      </c>
      <c r="G96" s="57">
        <v>750</v>
      </c>
      <c r="H96" s="74">
        <v>750</v>
      </c>
      <c r="I96" s="55" t="s">
        <v>91</v>
      </c>
      <c r="J96" s="55" t="s">
        <v>20</v>
      </c>
      <c r="K96" s="96" t="s">
        <v>20</v>
      </c>
      <c r="L96" s="95" t="s">
        <v>20</v>
      </c>
      <c r="M96" s="55" t="s">
        <v>391</v>
      </c>
    </row>
    <row r="97" spans="1:13" x14ac:dyDescent="0.25">
      <c r="A97" s="54" t="s">
        <v>412</v>
      </c>
      <c r="B97" s="55" t="s">
        <v>265</v>
      </c>
      <c r="C97" s="55"/>
      <c r="D97" s="55"/>
      <c r="E97" s="55"/>
      <c r="F97" s="56"/>
      <c r="G97" s="57"/>
      <c r="H97" s="74">
        <v>5000</v>
      </c>
      <c r="I97" s="55" t="s">
        <v>91</v>
      </c>
      <c r="J97" s="55"/>
      <c r="K97" s="96"/>
      <c r="L97" s="95"/>
      <c r="M97" s="55" t="s">
        <v>413</v>
      </c>
    </row>
    <row r="98" spans="1:13" ht="23.25" x14ac:dyDescent="0.25">
      <c r="A98" s="54" t="s">
        <v>424</v>
      </c>
      <c r="B98" s="55" t="s">
        <v>281</v>
      </c>
      <c r="C98" s="55" t="s">
        <v>425</v>
      </c>
      <c r="D98" s="55" t="s">
        <v>401</v>
      </c>
      <c r="E98" s="55" t="s">
        <v>184</v>
      </c>
      <c r="F98" s="56">
        <v>46130</v>
      </c>
      <c r="G98" s="57">
        <v>3800</v>
      </c>
      <c r="H98" s="74">
        <v>3800</v>
      </c>
      <c r="I98" s="55" t="s">
        <v>91</v>
      </c>
      <c r="J98" s="55" t="s">
        <v>20</v>
      </c>
      <c r="K98" s="96" t="s">
        <v>20</v>
      </c>
      <c r="L98" s="95" t="s">
        <v>426</v>
      </c>
      <c r="M98" s="55" t="s">
        <v>427</v>
      </c>
    </row>
    <row r="99" spans="1:13" ht="23.25" x14ac:dyDescent="0.25">
      <c r="A99" s="54" t="s">
        <v>409</v>
      </c>
      <c r="B99" s="55" t="s">
        <v>281</v>
      </c>
      <c r="C99" s="55" t="s">
        <v>428</v>
      </c>
      <c r="D99" s="55" t="s">
        <v>213</v>
      </c>
      <c r="E99" s="55" t="s">
        <v>213</v>
      </c>
      <c r="F99" s="56">
        <v>46083</v>
      </c>
      <c r="G99" s="57">
        <v>9</v>
      </c>
      <c r="H99" s="74">
        <v>9</v>
      </c>
      <c r="I99" s="55" t="s">
        <v>91</v>
      </c>
      <c r="J99" s="55" t="s">
        <v>503</v>
      </c>
      <c r="K99" s="96">
        <v>45952</v>
      </c>
      <c r="L99" s="96">
        <v>45967</v>
      </c>
      <c r="M99" s="55" t="s">
        <v>429</v>
      </c>
    </row>
    <row r="100" spans="1:13" ht="23.25" x14ac:dyDescent="0.25">
      <c r="A100" s="54" t="s">
        <v>409</v>
      </c>
      <c r="B100" s="55" t="s">
        <v>281</v>
      </c>
      <c r="C100" s="55" t="s">
        <v>430</v>
      </c>
      <c r="D100" s="55" t="s">
        <v>125</v>
      </c>
      <c r="E100" s="55" t="s">
        <v>125</v>
      </c>
      <c r="F100" s="56">
        <v>46162</v>
      </c>
      <c r="G100" s="57">
        <v>144</v>
      </c>
      <c r="H100" s="74">
        <v>144</v>
      </c>
      <c r="I100" s="55" t="s">
        <v>91</v>
      </c>
      <c r="J100" s="55" t="s">
        <v>18</v>
      </c>
      <c r="K100" s="96" t="s">
        <v>69</v>
      </c>
      <c r="L100" s="96" t="s">
        <v>20</v>
      </c>
      <c r="M100" s="55" t="s">
        <v>431</v>
      </c>
    </row>
    <row r="101" spans="1:13" ht="19.5" thickBot="1" x14ac:dyDescent="0.35">
      <c r="A101" s="58" t="s">
        <v>434</v>
      </c>
      <c r="B101" s="58"/>
      <c r="C101" s="58"/>
      <c r="D101" s="58"/>
      <c r="E101" s="58"/>
      <c r="F101" s="58"/>
      <c r="G101" s="58"/>
      <c r="H101" s="77">
        <f>SUBTOTAL(9,H96:H100)</f>
        <v>9703</v>
      </c>
      <c r="I101" s="58"/>
      <c r="J101" s="58"/>
      <c r="K101" s="115"/>
      <c r="L101" s="97"/>
      <c r="M101" s="58"/>
    </row>
    <row r="102" spans="1:13" ht="18.75" x14ac:dyDescent="0.3">
      <c r="A102" s="59" t="s">
        <v>435</v>
      </c>
      <c r="B102" s="59"/>
      <c r="C102" s="59"/>
      <c r="D102" s="59"/>
      <c r="E102" s="59"/>
      <c r="F102" s="59"/>
      <c r="G102" s="59"/>
      <c r="H102" s="75">
        <f>SUM(H101,H95,H76,H69,H65,H33)</f>
        <v>444058.47</v>
      </c>
      <c r="I102" s="59"/>
      <c r="J102" s="59"/>
      <c r="K102" s="116"/>
      <c r="L102" s="98"/>
      <c r="M102" s="59"/>
    </row>
    <row r="104" spans="1:13" x14ac:dyDescent="0.25">
      <c r="G104" s="118"/>
      <c r="H104" s="119"/>
    </row>
  </sheetData>
  <autoFilter ref="A1:N102" xr:uid="{E4CFD200-8975-492C-A644-39E5D62A0C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Q280"/>
  <sheetViews>
    <sheetView zoomScaleNormal="100" workbookViewId="0">
      <pane ySplit="1" topLeftCell="A2" activePane="bottomLeft" state="frozen"/>
      <selection pane="bottomLeft" activeCell="L1" sqref="L1"/>
    </sheetView>
  </sheetViews>
  <sheetFormatPr defaultColWidth="11.25" defaultRowHeight="15.75" x14ac:dyDescent="0.25"/>
  <cols>
    <col min="1" max="1" width="26" bestFit="1" customWidth="1"/>
    <col min="2" max="2" width="26.875" bestFit="1" customWidth="1"/>
    <col min="3" max="3" width="17" customWidth="1"/>
    <col min="4" max="4" width="9.25" customWidth="1"/>
    <col min="5" max="5" width="9.25" style="2" customWidth="1"/>
    <col min="6" max="6" width="9.25" customWidth="1"/>
    <col min="7" max="7" width="10.375" bestFit="1" customWidth="1"/>
    <col min="8" max="8" width="14.875" bestFit="1" customWidth="1"/>
    <col min="9" max="9" width="11.375" bestFit="1" customWidth="1"/>
    <col min="10" max="12" width="15.875" style="2" customWidth="1"/>
    <col min="13" max="13" width="74.37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3" t="s">
        <v>4</v>
      </c>
      <c r="F1" s="8" t="s">
        <v>4</v>
      </c>
      <c r="G1" s="8" t="s">
        <v>5</v>
      </c>
      <c r="H1" s="8" t="s">
        <v>6</v>
      </c>
      <c r="I1" s="8" t="s">
        <v>436</v>
      </c>
      <c r="J1" s="3" t="s">
        <v>8</v>
      </c>
      <c r="K1" s="3" t="s">
        <v>9</v>
      </c>
      <c r="L1" s="3" t="s">
        <v>437</v>
      </c>
      <c r="M1" s="8" t="s">
        <v>10</v>
      </c>
      <c r="N1" s="9" t="s">
        <v>438</v>
      </c>
      <c r="O1" s="9" t="s">
        <v>439</v>
      </c>
      <c r="P1" s="9" t="s">
        <v>440</v>
      </c>
      <c r="Q1" s="9" t="s">
        <v>441</v>
      </c>
    </row>
    <row r="2" spans="1:17" ht="34.5" x14ac:dyDescent="0.25">
      <c r="A2" s="1" t="s">
        <v>442</v>
      </c>
      <c r="B2" s="4" t="s">
        <v>20</v>
      </c>
      <c r="C2" s="4" t="s">
        <v>443</v>
      </c>
      <c r="D2" s="4" t="s">
        <v>444</v>
      </c>
      <c r="E2" s="4" t="s">
        <v>445</v>
      </c>
      <c r="F2" s="6">
        <f t="shared" ref="F2:F65" si="0">+E2*1</f>
        <v>46203</v>
      </c>
      <c r="G2" s="5">
        <v>2025000</v>
      </c>
      <c r="H2" s="5">
        <v>314750</v>
      </c>
      <c r="I2" s="4" t="s">
        <v>91</v>
      </c>
      <c r="J2" s="4" t="s">
        <v>20</v>
      </c>
      <c r="K2" s="4" t="s">
        <v>20</v>
      </c>
      <c r="L2" s="4" t="s">
        <v>20</v>
      </c>
      <c r="M2" s="4" t="s">
        <v>446</v>
      </c>
      <c r="N2" t="str">
        <f t="shared" ref="N2:N65" ca="1" si="1">IF(F2&lt;TODAY(),"Overdue",IF(F2&lt;=TODAY()+14,"Current","Not Due"))</f>
        <v>Not Due</v>
      </c>
    </row>
    <row r="3" spans="1:17" x14ac:dyDescent="0.25">
      <c r="A3" s="1" t="s">
        <v>388</v>
      </c>
      <c r="B3" s="4" t="s">
        <v>20</v>
      </c>
      <c r="C3" s="4" t="s">
        <v>20</v>
      </c>
      <c r="D3" s="4" t="s">
        <v>447</v>
      </c>
      <c r="E3" s="4" t="s">
        <v>447</v>
      </c>
      <c r="F3" s="6">
        <f t="shared" si="0"/>
        <v>46522</v>
      </c>
      <c r="G3" s="5">
        <v>100000</v>
      </c>
      <c r="H3" s="5">
        <v>100000</v>
      </c>
      <c r="I3" s="4" t="s">
        <v>91</v>
      </c>
      <c r="J3" s="4" t="s">
        <v>20</v>
      </c>
      <c r="K3" s="4" t="s">
        <v>20</v>
      </c>
      <c r="L3" s="4" t="s">
        <v>20</v>
      </c>
      <c r="M3" s="4" t="s">
        <v>448</v>
      </c>
      <c r="N3" t="str">
        <f t="shared" ca="1" si="1"/>
        <v>Not Due</v>
      </c>
      <c r="O3" s="4"/>
    </row>
    <row r="4" spans="1:17" x14ac:dyDescent="0.25">
      <c r="A4" s="1" t="s">
        <v>388</v>
      </c>
      <c r="B4" s="4" t="s">
        <v>20</v>
      </c>
      <c r="C4" s="4" t="s">
        <v>20</v>
      </c>
      <c r="D4" s="4" t="s">
        <v>449</v>
      </c>
      <c r="E4" s="4" t="s">
        <v>449</v>
      </c>
      <c r="F4" s="6">
        <f t="shared" si="0"/>
        <v>46553</v>
      </c>
      <c r="G4" s="5">
        <v>250000</v>
      </c>
      <c r="H4" s="5">
        <v>250000</v>
      </c>
      <c r="I4" s="4" t="s">
        <v>91</v>
      </c>
      <c r="J4" s="4" t="s">
        <v>20</v>
      </c>
      <c r="K4" s="4" t="s">
        <v>20</v>
      </c>
      <c r="L4" s="4" t="s">
        <v>20</v>
      </c>
      <c r="M4" s="4" t="s">
        <v>450</v>
      </c>
      <c r="N4" t="str">
        <f t="shared" ca="1" si="1"/>
        <v>Not Due</v>
      </c>
      <c r="O4" s="4"/>
      <c r="P4" s="4"/>
    </row>
    <row r="5" spans="1:17" x14ac:dyDescent="0.25">
      <c r="A5" s="1" t="s">
        <v>388</v>
      </c>
      <c r="B5" s="4" t="s">
        <v>20</v>
      </c>
      <c r="C5" s="4" t="s">
        <v>20</v>
      </c>
      <c r="D5" s="4" t="s">
        <v>451</v>
      </c>
      <c r="E5" s="4" t="s">
        <v>452</v>
      </c>
      <c r="F5" s="6">
        <f t="shared" si="0"/>
        <v>46280</v>
      </c>
      <c r="G5" s="5">
        <v>100000</v>
      </c>
      <c r="H5" s="5">
        <v>100000</v>
      </c>
      <c r="I5" s="4" t="s">
        <v>91</v>
      </c>
      <c r="J5" s="4" t="s">
        <v>20</v>
      </c>
      <c r="K5" s="4" t="s">
        <v>20</v>
      </c>
      <c r="L5" s="4" t="s">
        <v>20</v>
      </c>
      <c r="M5" s="4" t="s">
        <v>453</v>
      </c>
      <c r="N5" t="str">
        <f t="shared" ca="1" si="1"/>
        <v>Not Due</v>
      </c>
      <c r="O5" s="4"/>
    </row>
    <row r="6" spans="1:17" x14ac:dyDescent="0.25">
      <c r="A6" s="1" t="s">
        <v>388</v>
      </c>
      <c r="B6" s="4" t="s">
        <v>20</v>
      </c>
      <c r="C6" s="4" t="s">
        <v>20</v>
      </c>
      <c r="D6" s="4" t="s">
        <v>454</v>
      </c>
      <c r="E6" s="4" t="s">
        <v>455</v>
      </c>
      <c r="F6" s="6">
        <f t="shared" si="0"/>
        <v>46249</v>
      </c>
      <c r="G6" s="5">
        <v>100000</v>
      </c>
      <c r="H6" s="5">
        <v>100000</v>
      </c>
      <c r="I6" s="4" t="s">
        <v>91</v>
      </c>
      <c r="J6" s="4" t="s">
        <v>20</v>
      </c>
      <c r="K6" s="4" t="s">
        <v>20</v>
      </c>
      <c r="L6" s="4" t="s">
        <v>20</v>
      </c>
      <c r="M6" s="4" t="s">
        <v>456</v>
      </c>
      <c r="N6" t="str">
        <f t="shared" ca="1" si="1"/>
        <v>Not Due</v>
      </c>
      <c r="O6" s="4"/>
    </row>
    <row r="7" spans="1:17" x14ac:dyDescent="0.25">
      <c r="A7" s="1" t="s">
        <v>388</v>
      </c>
      <c r="B7" s="4" t="s">
        <v>20</v>
      </c>
      <c r="C7" s="4" t="s">
        <v>20</v>
      </c>
      <c r="D7" s="4" t="s">
        <v>457</v>
      </c>
      <c r="E7" s="4" t="s">
        <v>458</v>
      </c>
      <c r="F7" s="6">
        <f t="shared" si="0"/>
        <v>46218</v>
      </c>
      <c r="G7" s="5">
        <v>100000</v>
      </c>
      <c r="H7" s="5">
        <v>100000</v>
      </c>
      <c r="I7" s="4" t="s">
        <v>91</v>
      </c>
      <c r="J7" s="4" t="s">
        <v>20</v>
      </c>
      <c r="K7" s="4" t="s">
        <v>20</v>
      </c>
      <c r="L7" s="4" t="s">
        <v>20</v>
      </c>
      <c r="M7" s="4" t="s">
        <v>459</v>
      </c>
      <c r="N7" t="str">
        <f t="shared" ca="1" si="1"/>
        <v>Not Due</v>
      </c>
      <c r="O7" s="4"/>
    </row>
    <row r="8" spans="1:17" x14ac:dyDescent="0.25">
      <c r="A8" s="1" t="s">
        <v>388</v>
      </c>
      <c r="B8" s="4" t="s">
        <v>20</v>
      </c>
      <c r="C8" s="4" t="s">
        <v>20</v>
      </c>
      <c r="D8" s="4" t="s">
        <v>460</v>
      </c>
      <c r="E8" s="4" t="s">
        <v>460</v>
      </c>
      <c r="F8" s="6">
        <f t="shared" si="0"/>
        <v>46341</v>
      </c>
      <c r="G8" s="5">
        <v>100000</v>
      </c>
      <c r="H8" s="5">
        <v>100000</v>
      </c>
      <c r="I8" s="4" t="s">
        <v>91</v>
      </c>
      <c r="J8" s="4" t="s">
        <v>20</v>
      </c>
      <c r="K8" s="4" t="s">
        <v>20</v>
      </c>
      <c r="L8" s="4" t="s">
        <v>20</v>
      </c>
      <c r="M8" s="4" t="s">
        <v>461</v>
      </c>
      <c r="N8" t="str">
        <f t="shared" ca="1" si="1"/>
        <v>Not Due</v>
      </c>
      <c r="O8" s="4"/>
    </row>
    <row r="9" spans="1:17" x14ac:dyDescent="0.25">
      <c r="A9" s="1" t="s">
        <v>388</v>
      </c>
      <c r="B9" s="4" t="s">
        <v>20</v>
      </c>
      <c r="C9" s="4" t="s">
        <v>20</v>
      </c>
      <c r="D9" s="4" t="s">
        <v>222</v>
      </c>
      <c r="E9" s="4" t="s">
        <v>462</v>
      </c>
      <c r="F9" s="6">
        <f t="shared" si="0"/>
        <v>46188</v>
      </c>
      <c r="G9" s="5">
        <v>100000</v>
      </c>
      <c r="H9" s="5">
        <v>100000</v>
      </c>
      <c r="I9" s="4" t="s">
        <v>91</v>
      </c>
      <c r="J9" s="4" t="s">
        <v>20</v>
      </c>
      <c r="K9" s="4" t="s">
        <v>20</v>
      </c>
      <c r="L9" s="4" t="s">
        <v>20</v>
      </c>
      <c r="M9" s="4" t="s">
        <v>450</v>
      </c>
      <c r="N9" t="str">
        <f t="shared" ca="1" si="1"/>
        <v>Not Due</v>
      </c>
      <c r="O9" s="4"/>
    </row>
    <row r="10" spans="1:17" x14ac:dyDescent="0.25">
      <c r="A10" s="1" t="s">
        <v>388</v>
      </c>
      <c r="B10" s="4" t="s">
        <v>20</v>
      </c>
      <c r="C10" s="4" t="s">
        <v>20</v>
      </c>
      <c r="D10" s="4" t="s">
        <v>463</v>
      </c>
      <c r="E10" s="4" t="s">
        <v>463</v>
      </c>
      <c r="F10" s="6">
        <f t="shared" si="0"/>
        <v>46371</v>
      </c>
      <c r="G10" s="5">
        <v>100000</v>
      </c>
      <c r="H10" s="5">
        <v>100000</v>
      </c>
      <c r="I10" s="4" t="s">
        <v>91</v>
      </c>
      <c r="J10" s="4" t="s">
        <v>20</v>
      </c>
      <c r="K10" s="4" t="s">
        <v>20</v>
      </c>
      <c r="L10" s="4" t="s">
        <v>20</v>
      </c>
      <c r="M10" s="4" t="s">
        <v>464</v>
      </c>
      <c r="N10" t="str">
        <f t="shared" ca="1" si="1"/>
        <v>Not Due</v>
      </c>
      <c r="O10" s="7"/>
    </row>
    <row r="11" spans="1:17" x14ac:dyDescent="0.25">
      <c r="A11" s="1" t="s">
        <v>388</v>
      </c>
      <c r="B11" s="4" t="s">
        <v>20</v>
      </c>
      <c r="C11" s="4" t="s">
        <v>20</v>
      </c>
      <c r="D11" s="4" t="s">
        <v>465</v>
      </c>
      <c r="E11" s="4" t="s">
        <v>465</v>
      </c>
      <c r="F11" s="6">
        <f t="shared" si="0"/>
        <v>46402</v>
      </c>
      <c r="G11" s="5">
        <v>100000</v>
      </c>
      <c r="H11" s="5">
        <v>100000</v>
      </c>
      <c r="I11" s="4" t="s">
        <v>91</v>
      </c>
      <c r="J11" s="4" t="s">
        <v>20</v>
      </c>
      <c r="K11" s="4" t="s">
        <v>20</v>
      </c>
      <c r="L11" s="4" t="s">
        <v>20</v>
      </c>
      <c r="M11" s="4" t="s">
        <v>466</v>
      </c>
      <c r="N11" t="str">
        <f t="shared" ca="1" si="1"/>
        <v>Not Due</v>
      </c>
    </row>
    <row r="12" spans="1:17" x14ac:dyDescent="0.25">
      <c r="A12" s="1" t="s">
        <v>388</v>
      </c>
      <c r="B12" s="4" t="s">
        <v>20</v>
      </c>
      <c r="C12" s="4" t="s">
        <v>20</v>
      </c>
      <c r="D12" s="4" t="s">
        <v>467</v>
      </c>
      <c r="E12" s="4" t="s">
        <v>467</v>
      </c>
      <c r="F12" s="6">
        <f t="shared" si="0"/>
        <v>46433</v>
      </c>
      <c r="G12" s="5">
        <v>100000</v>
      </c>
      <c r="H12" s="5">
        <v>100000</v>
      </c>
      <c r="I12" s="4" t="s">
        <v>91</v>
      </c>
      <c r="J12" s="4" t="s">
        <v>20</v>
      </c>
      <c r="K12" s="4" t="s">
        <v>20</v>
      </c>
      <c r="L12" s="4" t="s">
        <v>20</v>
      </c>
      <c r="M12" s="4" t="s">
        <v>468</v>
      </c>
      <c r="N12" t="str">
        <f t="shared" ca="1" si="1"/>
        <v>Not Due</v>
      </c>
    </row>
    <row r="13" spans="1:17" x14ac:dyDescent="0.25">
      <c r="A13" s="1" t="s">
        <v>388</v>
      </c>
      <c r="B13" s="4" t="s">
        <v>20</v>
      </c>
      <c r="C13" s="4" t="s">
        <v>20</v>
      </c>
      <c r="D13" s="4" t="s">
        <v>469</v>
      </c>
      <c r="E13" s="4" t="s">
        <v>469</v>
      </c>
      <c r="F13" s="6">
        <f t="shared" si="0"/>
        <v>46461</v>
      </c>
      <c r="G13" s="5">
        <v>100000</v>
      </c>
      <c r="H13" s="5">
        <v>100000</v>
      </c>
      <c r="I13" s="4" t="s">
        <v>91</v>
      </c>
      <c r="J13" s="4" t="s">
        <v>20</v>
      </c>
      <c r="K13" s="4" t="s">
        <v>20</v>
      </c>
      <c r="L13" s="4" t="s">
        <v>20</v>
      </c>
      <c r="M13" s="4" t="s">
        <v>470</v>
      </c>
      <c r="N13" t="str">
        <f t="shared" ca="1" si="1"/>
        <v>Not Due</v>
      </c>
    </row>
    <row r="14" spans="1:17" x14ac:dyDescent="0.25">
      <c r="A14" s="1" t="s">
        <v>388</v>
      </c>
      <c r="B14" s="4" t="s">
        <v>20</v>
      </c>
      <c r="C14" s="4" t="s">
        <v>20</v>
      </c>
      <c r="D14" s="4" t="s">
        <v>471</v>
      </c>
      <c r="E14" s="4" t="s">
        <v>471</v>
      </c>
      <c r="F14" s="6">
        <f t="shared" si="0"/>
        <v>46492</v>
      </c>
      <c r="G14" s="5">
        <v>100000</v>
      </c>
      <c r="H14" s="5">
        <v>100000</v>
      </c>
      <c r="I14" s="4" t="s">
        <v>91</v>
      </c>
      <c r="J14" s="4" t="s">
        <v>20</v>
      </c>
      <c r="K14" s="4" t="s">
        <v>20</v>
      </c>
      <c r="L14" s="4" t="s">
        <v>20</v>
      </c>
      <c r="M14" s="4" t="s">
        <v>472</v>
      </c>
      <c r="N14" t="str">
        <f t="shared" ca="1" si="1"/>
        <v>Not Due</v>
      </c>
      <c r="O14" s="4"/>
    </row>
    <row r="15" spans="1:17" x14ac:dyDescent="0.25">
      <c r="A15" s="1" t="s">
        <v>388</v>
      </c>
      <c r="B15" s="4" t="s">
        <v>20</v>
      </c>
      <c r="C15" s="4" t="s">
        <v>20</v>
      </c>
      <c r="D15" s="4" t="s">
        <v>473</v>
      </c>
      <c r="E15" s="4" t="s">
        <v>474</v>
      </c>
      <c r="F15" s="6">
        <f t="shared" si="0"/>
        <v>46310</v>
      </c>
      <c r="G15" s="5">
        <v>100000</v>
      </c>
      <c r="H15" s="5">
        <v>100000</v>
      </c>
      <c r="I15" s="4" t="s">
        <v>91</v>
      </c>
      <c r="J15" s="4" t="s">
        <v>20</v>
      </c>
      <c r="K15" s="4" t="s">
        <v>20</v>
      </c>
      <c r="L15" s="4" t="s">
        <v>20</v>
      </c>
      <c r="M15" s="4" t="s">
        <v>475</v>
      </c>
      <c r="N15" t="str">
        <f t="shared" ca="1" si="1"/>
        <v>Not Due</v>
      </c>
      <c r="O15" s="7"/>
    </row>
    <row r="16" spans="1:17" ht="23.25" x14ac:dyDescent="0.25">
      <c r="A16" s="1" t="s">
        <v>412</v>
      </c>
      <c r="B16" s="4" t="s">
        <v>20</v>
      </c>
      <c r="C16" s="4" t="s">
        <v>476</v>
      </c>
      <c r="D16" s="4" t="s">
        <v>477</v>
      </c>
      <c r="E16" s="4" t="s">
        <v>477</v>
      </c>
      <c r="F16" s="6">
        <f t="shared" si="0"/>
        <v>43786</v>
      </c>
      <c r="G16" s="5">
        <v>4550</v>
      </c>
      <c r="H16" s="5">
        <v>700</v>
      </c>
      <c r="I16" s="4" t="s">
        <v>394</v>
      </c>
      <c r="J16" s="4" t="s">
        <v>20</v>
      </c>
      <c r="K16" s="4" t="s">
        <v>20</v>
      </c>
      <c r="L16" s="4" t="s">
        <v>20</v>
      </c>
      <c r="M16" s="4" t="s">
        <v>478</v>
      </c>
      <c r="N16" t="str">
        <f t="shared" ca="1" si="1"/>
        <v>Overdue</v>
      </c>
      <c r="O16" s="4" t="s">
        <v>479</v>
      </c>
      <c r="Q16" t="s">
        <v>480</v>
      </c>
    </row>
    <row r="17" spans="1:16" x14ac:dyDescent="0.25">
      <c r="A17" s="1" t="s">
        <v>412</v>
      </c>
      <c r="B17" s="4" t="s">
        <v>20</v>
      </c>
      <c r="C17" s="4" t="s">
        <v>481</v>
      </c>
      <c r="D17" s="4" t="s">
        <v>482</v>
      </c>
      <c r="E17" s="4" t="s">
        <v>482</v>
      </c>
      <c r="F17" s="6">
        <f t="shared" si="0"/>
        <v>44303</v>
      </c>
      <c r="G17" s="5">
        <v>8450</v>
      </c>
      <c r="H17" s="5">
        <v>8450</v>
      </c>
      <c r="I17" s="4" t="s">
        <v>394</v>
      </c>
      <c r="J17" s="4" t="s">
        <v>20</v>
      </c>
      <c r="K17" s="4" t="s">
        <v>20</v>
      </c>
      <c r="L17" s="4" t="s">
        <v>20</v>
      </c>
      <c r="M17" s="4" t="s">
        <v>483</v>
      </c>
      <c r="N17" t="str">
        <f t="shared" ca="1" si="1"/>
        <v>Overdue</v>
      </c>
      <c r="O17" s="4" t="s">
        <v>479</v>
      </c>
    </row>
    <row r="18" spans="1:16" ht="23.25" x14ac:dyDescent="0.25">
      <c r="A18" s="1" t="s">
        <v>412</v>
      </c>
      <c r="B18" s="4" t="s">
        <v>20</v>
      </c>
      <c r="C18" s="4" t="s">
        <v>484</v>
      </c>
      <c r="D18" s="4" t="s">
        <v>485</v>
      </c>
      <c r="E18" s="4" t="s">
        <v>485</v>
      </c>
      <c r="F18" s="6">
        <f t="shared" si="0"/>
        <v>44965</v>
      </c>
      <c r="G18" s="5">
        <v>500</v>
      </c>
      <c r="H18" s="5">
        <v>500</v>
      </c>
      <c r="I18" s="4" t="s">
        <v>394</v>
      </c>
      <c r="J18" s="4" t="s">
        <v>20</v>
      </c>
      <c r="K18" s="4" t="s">
        <v>20</v>
      </c>
      <c r="L18" s="4" t="s">
        <v>20</v>
      </c>
      <c r="M18" s="4" t="s">
        <v>486</v>
      </c>
      <c r="N18" t="str">
        <f t="shared" ca="1" si="1"/>
        <v>Overdue</v>
      </c>
      <c r="O18" s="4" t="s">
        <v>479</v>
      </c>
      <c r="P18" s="4"/>
    </row>
    <row r="19" spans="1:16" x14ac:dyDescent="0.25">
      <c r="A19" s="1" t="s">
        <v>412</v>
      </c>
      <c r="B19" s="4" t="s">
        <v>20</v>
      </c>
      <c r="C19" s="4" t="s">
        <v>487</v>
      </c>
      <c r="D19" s="4" t="s">
        <v>488</v>
      </c>
      <c r="E19" s="4" t="s">
        <v>488</v>
      </c>
      <c r="F19" s="6">
        <f t="shared" si="0"/>
        <v>44354</v>
      </c>
      <c r="G19" s="5">
        <v>3600</v>
      </c>
      <c r="H19" s="5">
        <v>3600</v>
      </c>
      <c r="I19" s="4" t="s">
        <v>394</v>
      </c>
      <c r="J19" s="4" t="s">
        <v>20</v>
      </c>
      <c r="K19" s="4" t="s">
        <v>20</v>
      </c>
      <c r="L19" s="4" t="s">
        <v>20</v>
      </c>
      <c r="M19" s="4" t="s">
        <v>489</v>
      </c>
      <c r="N19" t="str">
        <f t="shared" ca="1" si="1"/>
        <v>Overdue</v>
      </c>
      <c r="O19" s="4" t="s">
        <v>479</v>
      </c>
    </row>
    <row r="20" spans="1:16" x14ac:dyDescent="0.25">
      <c r="A20" s="1" t="s">
        <v>412</v>
      </c>
      <c r="B20" s="4" t="s">
        <v>20</v>
      </c>
      <c r="C20" s="4" t="s">
        <v>490</v>
      </c>
      <c r="D20" s="4" t="s">
        <v>491</v>
      </c>
      <c r="E20" s="4" t="s">
        <v>491</v>
      </c>
      <c r="F20" s="6">
        <f t="shared" si="0"/>
        <v>43811</v>
      </c>
      <c r="G20" s="5">
        <v>2900</v>
      </c>
      <c r="H20" s="5">
        <v>750</v>
      </c>
      <c r="I20" s="4" t="s">
        <v>394</v>
      </c>
      <c r="J20" s="4" t="s">
        <v>20</v>
      </c>
      <c r="K20" s="4" t="s">
        <v>20</v>
      </c>
      <c r="L20" s="4" t="s">
        <v>20</v>
      </c>
      <c r="M20" s="4" t="s">
        <v>492</v>
      </c>
      <c r="N20" t="str">
        <f t="shared" ca="1" si="1"/>
        <v>Overdue</v>
      </c>
      <c r="O20" s="4" t="s">
        <v>479</v>
      </c>
    </row>
    <row r="21" spans="1:16" x14ac:dyDescent="0.25">
      <c r="A21" s="1" t="s">
        <v>412</v>
      </c>
      <c r="B21" s="4" t="s">
        <v>20</v>
      </c>
      <c r="C21" s="4" t="s">
        <v>493</v>
      </c>
      <c r="D21" s="4" t="s">
        <v>494</v>
      </c>
      <c r="E21" s="4" t="s">
        <v>494</v>
      </c>
      <c r="F21" s="6">
        <f t="shared" si="0"/>
        <v>44328</v>
      </c>
      <c r="G21" s="5">
        <v>8250</v>
      </c>
      <c r="H21" s="5">
        <v>8250</v>
      </c>
      <c r="I21" s="4" t="s">
        <v>394</v>
      </c>
      <c r="J21" s="4" t="s">
        <v>20</v>
      </c>
      <c r="K21" s="4" t="s">
        <v>20</v>
      </c>
      <c r="L21" s="4" t="s">
        <v>20</v>
      </c>
      <c r="M21" s="4" t="s">
        <v>495</v>
      </c>
      <c r="N21" t="str">
        <f t="shared" ca="1" si="1"/>
        <v>Overdue</v>
      </c>
      <c r="O21" s="4" t="s">
        <v>479</v>
      </c>
      <c r="P21" s="4"/>
    </row>
    <row r="22" spans="1:16" x14ac:dyDescent="0.25">
      <c r="A22" s="1" t="s">
        <v>412</v>
      </c>
      <c r="B22" s="4" t="s">
        <v>20</v>
      </c>
      <c r="C22" s="4" t="s">
        <v>496</v>
      </c>
      <c r="D22" s="4" t="s">
        <v>497</v>
      </c>
      <c r="E22" s="4" t="s">
        <v>497</v>
      </c>
      <c r="F22" s="6">
        <f t="shared" si="0"/>
        <v>44258</v>
      </c>
      <c r="G22" s="5">
        <v>4300</v>
      </c>
      <c r="H22" s="5">
        <v>4300</v>
      </c>
      <c r="I22" s="4" t="s">
        <v>394</v>
      </c>
      <c r="J22" s="4" t="s">
        <v>20</v>
      </c>
      <c r="K22" s="4" t="s">
        <v>20</v>
      </c>
      <c r="L22" s="4" t="s">
        <v>20</v>
      </c>
      <c r="M22" s="4" t="s">
        <v>498</v>
      </c>
      <c r="N22" t="str">
        <f t="shared" ca="1" si="1"/>
        <v>Overdue</v>
      </c>
      <c r="O22" s="4" t="s">
        <v>479</v>
      </c>
    </row>
    <row r="23" spans="1:16" x14ac:dyDescent="0.25">
      <c r="A23" s="1" t="s">
        <v>412</v>
      </c>
      <c r="B23" s="4" t="s">
        <v>20</v>
      </c>
      <c r="C23" s="4" t="s">
        <v>499</v>
      </c>
      <c r="D23" s="4" t="s">
        <v>497</v>
      </c>
      <c r="E23" s="4" t="s">
        <v>497</v>
      </c>
      <c r="F23" s="6">
        <f t="shared" si="0"/>
        <v>44258</v>
      </c>
      <c r="G23" s="5">
        <v>2800</v>
      </c>
      <c r="H23" s="5">
        <v>2800</v>
      </c>
      <c r="I23" s="4" t="s">
        <v>394</v>
      </c>
      <c r="J23" s="4" t="s">
        <v>20</v>
      </c>
      <c r="K23" s="4" t="s">
        <v>20</v>
      </c>
      <c r="L23" s="4" t="s">
        <v>20</v>
      </c>
      <c r="M23" s="4" t="s">
        <v>500</v>
      </c>
      <c r="N23" t="str">
        <f t="shared" ca="1" si="1"/>
        <v>Overdue</v>
      </c>
      <c r="O23" s="4" t="s">
        <v>479</v>
      </c>
    </row>
    <row r="24" spans="1:16" x14ac:dyDescent="0.25">
      <c r="A24" s="1" t="s">
        <v>388</v>
      </c>
      <c r="B24" s="4" t="s">
        <v>389</v>
      </c>
      <c r="C24" s="4" t="s">
        <v>390</v>
      </c>
      <c r="D24" s="4" t="s">
        <v>31</v>
      </c>
      <c r="E24" s="4" t="s">
        <v>31</v>
      </c>
      <c r="F24" s="6">
        <f t="shared" si="0"/>
        <v>46150</v>
      </c>
      <c r="G24" s="5">
        <v>750</v>
      </c>
      <c r="H24" s="5">
        <v>750</v>
      </c>
      <c r="I24" s="4" t="s">
        <v>91</v>
      </c>
      <c r="J24" s="4" t="s">
        <v>20</v>
      </c>
      <c r="K24" s="4" t="s">
        <v>20</v>
      </c>
      <c r="L24" s="4" t="s">
        <v>20</v>
      </c>
      <c r="M24" s="4" t="s">
        <v>391</v>
      </c>
      <c r="N24" t="str">
        <f t="shared" ca="1" si="1"/>
        <v>Overdue</v>
      </c>
    </row>
    <row r="25" spans="1:16" x14ac:dyDescent="0.25">
      <c r="A25" s="1" t="s">
        <v>12</v>
      </c>
      <c r="B25" s="4" t="s">
        <v>13</v>
      </c>
      <c r="C25" s="4" t="s">
        <v>14</v>
      </c>
      <c r="D25" s="4" t="s">
        <v>15</v>
      </c>
      <c r="E25" s="4" t="s">
        <v>16</v>
      </c>
      <c r="F25" s="6">
        <f t="shared" si="0"/>
        <v>46153</v>
      </c>
      <c r="G25" s="5">
        <v>500</v>
      </c>
      <c r="H25" s="5">
        <v>500</v>
      </c>
      <c r="I25" s="4" t="s">
        <v>17</v>
      </c>
      <c r="J25" s="4" t="s">
        <v>18</v>
      </c>
      <c r="K25" s="4" t="s">
        <v>19</v>
      </c>
      <c r="L25" s="4" t="s">
        <v>20</v>
      </c>
      <c r="M25" s="4" t="s">
        <v>21</v>
      </c>
      <c r="N25" t="str">
        <f t="shared" ca="1" si="1"/>
        <v>Overdue</v>
      </c>
      <c r="O25" s="4"/>
    </row>
    <row r="26" spans="1:16" ht="45.75" x14ac:dyDescent="0.25">
      <c r="A26" s="1" t="s">
        <v>501</v>
      </c>
      <c r="B26" s="4" t="s">
        <v>13</v>
      </c>
      <c r="C26" s="4" t="s">
        <v>502</v>
      </c>
      <c r="D26" s="4" t="s">
        <v>30</v>
      </c>
      <c r="E26" s="4" t="s">
        <v>30</v>
      </c>
      <c r="F26" s="6">
        <f t="shared" si="0"/>
        <v>46156</v>
      </c>
      <c r="G26" s="5">
        <v>1000</v>
      </c>
      <c r="H26" s="5">
        <v>1000</v>
      </c>
      <c r="I26" s="4" t="s">
        <v>17</v>
      </c>
      <c r="J26" s="4" t="s">
        <v>503</v>
      </c>
      <c r="K26" s="4" t="s">
        <v>20</v>
      </c>
      <c r="L26" s="4" t="s">
        <v>20</v>
      </c>
      <c r="M26" s="4" t="s">
        <v>504</v>
      </c>
      <c r="N26" t="str">
        <f t="shared" ca="1" si="1"/>
        <v>Overdue</v>
      </c>
    </row>
    <row r="27" spans="1:16" x14ac:dyDescent="0.25">
      <c r="A27" s="1" t="s">
        <v>89</v>
      </c>
      <c r="B27" s="4" t="s">
        <v>23</v>
      </c>
      <c r="C27" s="4" t="s">
        <v>90</v>
      </c>
      <c r="D27" s="4" t="s">
        <v>49</v>
      </c>
      <c r="E27" s="4" t="s">
        <v>35</v>
      </c>
      <c r="F27" s="6">
        <f t="shared" si="0"/>
        <v>46164</v>
      </c>
      <c r="G27" s="5">
        <v>600</v>
      </c>
      <c r="H27" s="5">
        <v>600</v>
      </c>
      <c r="I27" s="4" t="s">
        <v>91</v>
      </c>
      <c r="J27" s="4" t="s">
        <v>18</v>
      </c>
      <c r="K27" s="4" t="s">
        <v>54</v>
      </c>
      <c r="L27" s="4" t="s">
        <v>20</v>
      </c>
      <c r="M27" s="4" t="s">
        <v>92</v>
      </c>
      <c r="N27" t="str">
        <f t="shared" ca="1" si="1"/>
        <v>Current</v>
      </c>
      <c r="O27" s="4"/>
    </row>
    <row r="28" spans="1:16" x14ac:dyDescent="0.25">
      <c r="A28" s="1" t="s">
        <v>89</v>
      </c>
      <c r="B28" s="4" t="s">
        <v>23</v>
      </c>
      <c r="C28" s="4" t="s">
        <v>93</v>
      </c>
      <c r="D28" s="4" t="s">
        <v>31</v>
      </c>
      <c r="E28" s="4" t="s">
        <v>35</v>
      </c>
      <c r="F28" s="6">
        <f t="shared" si="0"/>
        <v>46164</v>
      </c>
      <c r="G28" s="5">
        <v>1075</v>
      </c>
      <c r="H28" s="5">
        <v>1075</v>
      </c>
      <c r="I28" s="4" t="s">
        <v>91</v>
      </c>
      <c r="J28" s="4" t="s">
        <v>18</v>
      </c>
      <c r="K28" s="4" t="s">
        <v>54</v>
      </c>
      <c r="L28" s="4" t="s">
        <v>20</v>
      </c>
      <c r="M28" s="4" t="s">
        <v>94</v>
      </c>
      <c r="N28" t="str">
        <f t="shared" ca="1" si="1"/>
        <v>Current</v>
      </c>
      <c r="O28" s="4"/>
    </row>
    <row r="29" spans="1:16" x14ac:dyDescent="0.25">
      <c r="A29" s="1" t="s">
        <v>89</v>
      </c>
      <c r="B29" s="4" t="s">
        <v>23</v>
      </c>
      <c r="C29" s="4" t="s">
        <v>95</v>
      </c>
      <c r="D29" s="4" t="s">
        <v>96</v>
      </c>
      <c r="E29" s="4" t="s">
        <v>35</v>
      </c>
      <c r="F29" s="6">
        <f t="shared" si="0"/>
        <v>46164</v>
      </c>
      <c r="G29" s="5">
        <v>925</v>
      </c>
      <c r="H29" s="5">
        <v>925</v>
      </c>
      <c r="I29" s="4" t="s">
        <v>91</v>
      </c>
      <c r="J29" s="4" t="s">
        <v>18</v>
      </c>
      <c r="K29" s="4" t="s">
        <v>54</v>
      </c>
      <c r="L29" s="4" t="s">
        <v>20</v>
      </c>
      <c r="M29" s="4" t="s">
        <v>97</v>
      </c>
      <c r="N29" t="str">
        <f t="shared" ca="1" si="1"/>
        <v>Current</v>
      </c>
      <c r="O29" s="4"/>
    </row>
    <row r="30" spans="1:16" ht="20.100000000000001" customHeight="1" x14ac:dyDescent="0.25">
      <c r="A30" s="1" t="s">
        <v>89</v>
      </c>
      <c r="B30" s="4" t="s">
        <v>23</v>
      </c>
      <c r="C30" s="4" t="s">
        <v>98</v>
      </c>
      <c r="D30" s="4" t="s">
        <v>31</v>
      </c>
      <c r="E30" s="4" t="s">
        <v>35</v>
      </c>
      <c r="F30" s="6">
        <f t="shared" si="0"/>
        <v>46164</v>
      </c>
      <c r="G30" s="5">
        <v>600</v>
      </c>
      <c r="H30" s="5">
        <v>600</v>
      </c>
      <c r="I30" s="4" t="s">
        <v>91</v>
      </c>
      <c r="J30" s="4" t="s">
        <v>18</v>
      </c>
      <c r="K30" s="4" t="s">
        <v>54</v>
      </c>
      <c r="L30" s="4" t="s">
        <v>20</v>
      </c>
      <c r="M30" s="4" t="s">
        <v>99</v>
      </c>
      <c r="N30" t="str">
        <f t="shared" ca="1" si="1"/>
        <v>Current</v>
      </c>
      <c r="O30" s="4"/>
    </row>
    <row r="31" spans="1:16" x14ac:dyDescent="0.25">
      <c r="A31" s="1" t="s">
        <v>89</v>
      </c>
      <c r="B31" s="4" t="s">
        <v>23</v>
      </c>
      <c r="C31" s="4" t="s">
        <v>100</v>
      </c>
      <c r="D31" s="4" t="s">
        <v>49</v>
      </c>
      <c r="E31" s="4" t="s">
        <v>35</v>
      </c>
      <c r="F31" s="6">
        <f t="shared" si="0"/>
        <v>46164</v>
      </c>
      <c r="G31" s="5">
        <v>1075</v>
      </c>
      <c r="H31" s="5">
        <v>1075</v>
      </c>
      <c r="I31" s="4" t="s">
        <v>91</v>
      </c>
      <c r="J31" s="4" t="s">
        <v>18</v>
      </c>
      <c r="K31" s="4" t="s">
        <v>54</v>
      </c>
      <c r="L31" s="4" t="s">
        <v>20</v>
      </c>
      <c r="M31" s="4" t="s">
        <v>101</v>
      </c>
      <c r="N31" t="str">
        <f t="shared" ca="1" si="1"/>
        <v>Current</v>
      </c>
      <c r="O31" s="7"/>
    </row>
    <row r="32" spans="1:16" x14ac:dyDescent="0.25">
      <c r="A32" s="1" t="s">
        <v>89</v>
      </c>
      <c r="B32" s="4" t="s">
        <v>23</v>
      </c>
      <c r="C32" s="4" t="s">
        <v>102</v>
      </c>
      <c r="D32" s="4" t="s">
        <v>63</v>
      </c>
      <c r="E32" s="4" t="s">
        <v>103</v>
      </c>
      <c r="F32" s="6">
        <f t="shared" si="0"/>
        <v>46167</v>
      </c>
      <c r="G32" s="5">
        <v>1075</v>
      </c>
      <c r="H32" s="5">
        <v>1075</v>
      </c>
      <c r="I32" s="4" t="s">
        <v>91</v>
      </c>
      <c r="J32" s="4" t="s">
        <v>18</v>
      </c>
      <c r="K32" s="4" t="s">
        <v>54</v>
      </c>
      <c r="L32" s="4" t="s">
        <v>20</v>
      </c>
      <c r="M32" s="4" t="s">
        <v>104</v>
      </c>
      <c r="N32" t="str">
        <f t="shared" ca="1" si="1"/>
        <v>Current</v>
      </c>
    </row>
    <row r="33" spans="1:15" x14ac:dyDescent="0.25">
      <c r="A33" s="1" t="s">
        <v>106</v>
      </c>
      <c r="B33" s="4" t="s">
        <v>23</v>
      </c>
      <c r="C33" s="4" t="s">
        <v>107</v>
      </c>
      <c r="D33" s="4" t="s">
        <v>29</v>
      </c>
      <c r="E33" s="4" t="s">
        <v>69</v>
      </c>
      <c r="F33" s="6">
        <f t="shared" si="0"/>
        <v>46161</v>
      </c>
      <c r="G33" s="5">
        <v>1200</v>
      </c>
      <c r="H33" s="5">
        <v>1200</v>
      </c>
      <c r="I33" s="4" t="s">
        <v>108</v>
      </c>
      <c r="J33" s="4" t="s">
        <v>18</v>
      </c>
      <c r="K33" s="4" t="s">
        <v>36</v>
      </c>
      <c r="L33" s="4" t="s">
        <v>20</v>
      </c>
      <c r="M33" s="4" t="s">
        <v>109</v>
      </c>
      <c r="N33" t="str">
        <f t="shared" ca="1" si="1"/>
        <v>Overdue</v>
      </c>
      <c r="O33" s="7"/>
    </row>
    <row r="34" spans="1:15" x14ac:dyDescent="0.25">
      <c r="A34" s="1" t="s">
        <v>110</v>
      </c>
      <c r="B34" s="4" t="s">
        <v>23</v>
      </c>
      <c r="C34" s="4" t="s">
        <v>111</v>
      </c>
      <c r="D34" s="4" t="s">
        <v>29</v>
      </c>
      <c r="E34" s="4" t="s">
        <v>30</v>
      </c>
      <c r="F34" s="6">
        <f t="shared" si="0"/>
        <v>46156</v>
      </c>
      <c r="G34" s="5">
        <v>2000</v>
      </c>
      <c r="H34" s="5">
        <v>2000</v>
      </c>
      <c r="I34" s="4" t="s">
        <v>108</v>
      </c>
      <c r="J34" s="4" t="s">
        <v>18</v>
      </c>
      <c r="K34" s="4" t="s">
        <v>31</v>
      </c>
      <c r="L34" s="4" t="s">
        <v>20</v>
      </c>
      <c r="M34" s="4" t="s">
        <v>112</v>
      </c>
      <c r="N34" t="str">
        <f t="shared" ca="1" si="1"/>
        <v>Overdue</v>
      </c>
      <c r="O34" s="4"/>
    </row>
    <row r="35" spans="1:15" x14ac:dyDescent="0.25">
      <c r="A35" s="1" t="s">
        <v>22</v>
      </c>
      <c r="B35" s="4" t="s">
        <v>23</v>
      </c>
      <c r="C35" s="4" t="s">
        <v>24</v>
      </c>
      <c r="D35" s="4" t="s">
        <v>25</v>
      </c>
      <c r="E35" s="4" t="s">
        <v>16</v>
      </c>
      <c r="F35" s="6">
        <f t="shared" si="0"/>
        <v>46153</v>
      </c>
      <c r="G35" s="5">
        <v>3350</v>
      </c>
      <c r="H35" s="5">
        <v>3350</v>
      </c>
      <c r="I35" s="4" t="s">
        <v>17</v>
      </c>
      <c r="J35" s="4" t="s">
        <v>18</v>
      </c>
      <c r="K35" s="4" t="s">
        <v>19</v>
      </c>
      <c r="L35" s="4" t="s">
        <v>20</v>
      </c>
      <c r="M35" s="4" t="s">
        <v>26</v>
      </c>
      <c r="N35" t="str">
        <f t="shared" ca="1" si="1"/>
        <v>Overdue</v>
      </c>
      <c r="O35" s="7"/>
    </row>
    <row r="36" spans="1:15" ht="15.6" x14ac:dyDescent="0.35">
      <c r="A36" s="1" t="s">
        <v>27</v>
      </c>
      <c r="B36" s="4" t="s">
        <v>23</v>
      </c>
      <c r="C36" s="4" t="s">
        <v>28</v>
      </c>
      <c r="D36" s="4" t="s">
        <v>29</v>
      </c>
      <c r="E36" s="4" t="s">
        <v>30</v>
      </c>
      <c r="F36" s="6">
        <f t="shared" si="0"/>
        <v>46156</v>
      </c>
      <c r="G36" s="5">
        <v>580</v>
      </c>
      <c r="H36" s="5">
        <v>580</v>
      </c>
      <c r="I36" s="4" t="s">
        <v>108</v>
      </c>
      <c r="J36" s="4" t="s">
        <v>18</v>
      </c>
      <c r="K36" s="4" t="s">
        <v>31</v>
      </c>
      <c r="L36" s="4" t="s">
        <v>20</v>
      </c>
      <c r="M36" s="4" t="s">
        <v>32</v>
      </c>
      <c r="N36" t="str">
        <f t="shared" ca="1" si="1"/>
        <v>Overdue</v>
      </c>
      <c r="O36" s="4"/>
    </row>
    <row r="37" spans="1:15" ht="15.6" x14ac:dyDescent="0.35">
      <c r="A37" s="1" t="s">
        <v>33</v>
      </c>
      <c r="B37" s="4" t="s">
        <v>23</v>
      </c>
      <c r="C37" s="4" t="s">
        <v>34</v>
      </c>
      <c r="D37" s="4" t="s">
        <v>31</v>
      </c>
      <c r="E37" s="4" t="s">
        <v>35</v>
      </c>
      <c r="F37" s="6">
        <f t="shared" si="0"/>
        <v>46164</v>
      </c>
      <c r="G37" s="5">
        <v>1200</v>
      </c>
      <c r="H37" s="5">
        <v>1200</v>
      </c>
      <c r="I37" s="4" t="s">
        <v>17</v>
      </c>
      <c r="J37" s="4" t="s">
        <v>18</v>
      </c>
      <c r="K37" s="4" t="s">
        <v>36</v>
      </c>
      <c r="L37" s="4" t="s">
        <v>20</v>
      </c>
      <c r="M37" s="4" t="s">
        <v>37</v>
      </c>
      <c r="N37" t="str">
        <f t="shared" ca="1" si="1"/>
        <v>Current</v>
      </c>
    </row>
    <row r="38" spans="1:15" ht="15.6" x14ac:dyDescent="0.35">
      <c r="A38" s="1" t="s">
        <v>38</v>
      </c>
      <c r="B38" s="4" t="s">
        <v>23</v>
      </c>
      <c r="C38" s="4" t="s">
        <v>39</v>
      </c>
      <c r="D38" s="4" t="s">
        <v>16</v>
      </c>
      <c r="E38" s="4" t="s">
        <v>40</v>
      </c>
      <c r="F38" s="6">
        <f t="shared" si="0"/>
        <v>46169</v>
      </c>
      <c r="G38" s="5">
        <v>1700</v>
      </c>
      <c r="H38" s="5">
        <v>1700</v>
      </c>
      <c r="I38" s="4" t="s">
        <v>17</v>
      </c>
      <c r="J38" s="4" t="s">
        <v>18</v>
      </c>
      <c r="K38" s="4" t="s">
        <v>41</v>
      </c>
      <c r="L38" s="4" t="s">
        <v>20</v>
      </c>
      <c r="M38" s="4" t="s">
        <v>42</v>
      </c>
      <c r="N38" t="str">
        <f t="shared" ca="1" si="1"/>
        <v>Current</v>
      </c>
    </row>
    <row r="39" spans="1:15" ht="15.6" x14ac:dyDescent="0.35">
      <c r="A39" s="1" t="s">
        <v>43</v>
      </c>
      <c r="B39" s="4" t="s">
        <v>23</v>
      </c>
      <c r="C39" s="4" t="s">
        <v>44</v>
      </c>
      <c r="D39" s="4" t="s">
        <v>45</v>
      </c>
      <c r="E39" s="4" t="s">
        <v>40</v>
      </c>
      <c r="F39" s="6">
        <f t="shared" si="0"/>
        <v>46169</v>
      </c>
      <c r="G39" s="5">
        <v>1830</v>
      </c>
      <c r="H39" s="5">
        <v>1830</v>
      </c>
      <c r="I39" s="4" t="s">
        <v>17</v>
      </c>
      <c r="J39" s="4" t="s">
        <v>18</v>
      </c>
      <c r="K39" s="4" t="s">
        <v>41</v>
      </c>
      <c r="L39" s="4" t="s">
        <v>20</v>
      </c>
      <c r="M39" s="4" t="s">
        <v>46</v>
      </c>
      <c r="N39" t="str">
        <f t="shared" ca="1" si="1"/>
        <v>Current</v>
      </c>
    </row>
    <row r="40" spans="1:15" ht="15.6" x14ac:dyDescent="0.35">
      <c r="A40" s="1" t="s">
        <v>113</v>
      </c>
      <c r="B40" s="4" t="s">
        <v>23</v>
      </c>
      <c r="C40" s="4" t="s">
        <v>114</v>
      </c>
      <c r="D40" s="4" t="s">
        <v>31</v>
      </c>
      <c r="E40" s="4" t="s">
        <v>103</v>
      </c>
      <c r="F40" s="6">
        <f t="shared" si="0"/>
        <v>46167</v>
      </c>
      <c r="G40" s="5">
        <v>2100</v>
      </c>
      <c r="H40" s="5">
        <v>2100</v>
      </c>
      <c r="I40" s="4" t="s">
        <v>108</v>
      </c>
      <c r="J40" s="4" t="s">
        <v>18</v>
      </c>
      <c r="K40" s="4" t="s">
        <v>36</v>
      </c>
      <c r="L40" s="4" t="s">
        <v>20</v>
      </c>
      <c r="M40" s="4" t="s">
        <v>115</v>
      </c>
      <c r="N40" t="str">
        <f t="shared" ca="1" si="1"/>
        <v>Current</v>
      </c>
    </row>
    <row r="41" spans="1:15" ht="15.6" x14ac:dyDescent="0.35">
      <c r="A41" s="1" t="s">
        <v>47</v>
      </c>
      <c r="B41" s="4" t="s">
        <v>23</v>
      </c>
      <c r="C41" s="4" t="s">
        <v>48</v>
      </c>
      <c r="D41" s="4" t="s">
        <v>49</v>
      </c>
      <c r="E41" s="4" t="s">
        <v>50</v>
      </c>
      <c r="F41" s="6">
        <f t="shared" si="0"/>
        <v>46163</v>
      </c>
      <c r="G41" s="5">
        <v>1715</v>
      </c>
      <c r="H41" s="5">
        <v>1715</v>
      </c>
      <c r="I41" s="4" t="s">
        <v>17</v>
      </c>
      <c r="J41" s="4" t="s">
        <v>18</v>
      </c>
      <c r="K41" s="4" t="s">
        <v>36</v>
      </c>
      <c r="L41" s="4" t="s">
        <v>20</v>
      </c>
      <c r="M41" s="4" t="s">
        <v>51</v>
      </c>
      <c r="N41" t="str">
        <f t="shared" ca="1" si="1"/>
        <v>Current</v>
      </c>
    </row>
    <row r="42" spans="1:15" ht="21.6" x14ac:dyDescent="0.35">
      <c r="A42" s="1" t="s">
        <v>116</v>
      </c>
      <c r="B42" s="4" t="s">
        <v>23</v>
      </c>
      <c r="C42" s="4" t="s">
        <v>117</v>
      </c>
      <c r="D42" s="4" t="s">
        <v>64</v>
      </c>
      <c r="E42" s="4" t="s">
        <v>41</v>
      </c>
      <c r="F42" s="6">
        <f t="shared" si="0"/>
        <v>46160</v>
      </c>
      <c r="G42" s="5">
        <v>530.91999999999996</v>
      </c>
      <c r="H42" s="5">
        <v>530.91999999999996</v>
      </c>
      <c r="I42" s="4" t="s">
        <v>108</v>
      </c>
      <c r="J42" s="4" t="s">
        <v>18</v>
      </c>
      <c r="K42" s="4" t="s">
        <v>31</v>
      </c>
      <c r="L42" s="4" t="s">
        <v>20</v>
      </c>
      <c r="M42" s="4" t="s">
        <v>118</v>
      </c>
      <c r="N42" t="str">
        <f t="shared" ca="1" si="1"/>
        <v>Overdue</v>
      </c>
      <c r="O42" s="4"/>
    </row>
    <row r="43" spans="1:15" ht="15.6" x14ac:dyDescent="0.35">
      <c r="A43" s="1" t="s">
        <v>52</v>
      </c>
      <c r="B43" s="4" t="s">
        <v>23</v>
      </c>
      <c r="C43" s="4" t="s">
        <v>53</v>
      </c>
      <c r="D43" s="4" t="s">
        <v>54</v>
      </c>
      <c r="E43" s="4" t="s">
        <v>55</v>
      </c>
      <c r="F43" s="6">
        <f t="shared" si="0"/>
        <v>46171</v>
      </c>
      <c r="G43" s="5">
        <v>1450</v>
      </c>
      <c r="H43" s="5">
        <v>1450</v>
      </c>
      <c r="I43" s="4" t="s">
        <v>17</v>
      </c>
      <c r="J43" s="4" t="s">
        <v>18</v>
      </c>
      <c r="K43" s="4" t="s">
        <v>41</v>
      </c>
      <c r="L43" s="4" t="s">
        <v>20</v>
      </c>
      <c r="M43" s="4" t="s">
        <v>56</v>
      </c>
      <c r="N43" t="str">
        <f t="shared" ca="1" si="1"/>
        <v>Current</v>
      </c>
    </row>
    <row r="44" spans="1:15" ht="15.6" x14ac:dyDescent="0.35">
      <c r="A44" s="1" t="s">
        <v>52</v>
      </c>
      <c r="B44" s="4" t="s">
        <v>23</v>
      </c>
      <c r="C44" s="4" t="s">
        <v>57</v>
      </c>
      <c r="D44" s="4" t="s">
        <v>54</v>
      </c>
      <c r="E44" s="4" t="s">
        <v>55</v>
      </c>
      <c r="F44" s="6">
        <f t="shared" si="0"/>
        <v>46171</v>
      </c>
      <c r="G44" s="5">
        <v>500</v>
      </c>
      <c r="H44" s="5">
        <v>500</v>
      </c>
      <c r="I44" s="4" t="s">
        <v>17</v>
      </c>
      <c r="J44" s="4" t="s">
        <v>18</v>
      </c>
      <c r="K44" s="4" t="s">
        <v>41</v>
      </c>
      <c r="L44" s="4" t="s">
        <v>20</v>
      </c>
      <c r="M44" s="4" t="s">
        <v>58</v>
      </c>
      <c r="N44" t="str">
        <f t="shared" ca="1" si="1"/>
        <v>Current</v>
      </c>
    </row>
    <row r="45" spans="1:15" ht="21.6" x14ac:dyDescent="0.35">
      <c r="A45" s="1" t="s">
        <v>59</v>
      </c>
      <c r="B45" s="4" t="s">
        <v>60</v>
      </c>
      <c r="C45" s="4" t="s">
        <v>61</v>
      </c>
      <c r="D45" s="4" t="s">
        <v>62</v>
      </c>
      <c r="E45" s="4" t="s">
        <v>63</v>
      </c>
      <c r="F45" s="6">
        <f t="shared" si="0"/>
        <v>46151</v>
      </c>
      <c r="G45" s="5">
        <v>1760</v>
      </c>
      <c r="H45" s="5">
        <v>1760</v>
      </c>
      <c r="I45" s="4" t="s">
        <v>17</v>
      </c>
      <c r="J45" s="4" t="s">
        <v>18</v>
      </c>
      <c r="K45" s="4" t="s">
        <v>64</v>
      </c>
      <c r="L45" s="4" t="s">
        <v>20</v>
      </c>
      <c r="M45" s="4" t="s">
        <v>65</v>
      </c>
      <c r="N45" t="str">
        <f t="shared" ca="1" si="1"/>
        <v>Overdue</v>
      </c>
    </row>
    <row r="46" spans="1:15" ht="21.6" x14ac:dyDescent="0.35">
      <c r="A46" s="1" t="s">
        <v>66</v>
      </c>
      <c r="B46" s="4" t="s">
        <v>60</v>
      </c>
      <c r="C46" s="4" t="s">
        <v>67</v>
      </c>
      <c r="D46" s="4" t="s">
        <v>68</v>
      </c>
      <c r="E46" s="4" t="s">
        <v>69</v>
      </c>
      <c r="F46" s="6">
        <f t="shared" si="0"/>
        <v>46161</v>
      </c>
      <c r="G46" s="5">
        <v>1110</v>
      </c>
      <c r="H46" s="5">
        <v>1110</v>
      </c>
      <c r="I46" s="4" t="s">
        <v>17</v>
      </c>
      <c r="J46" s="4" t="s">
        <v>18</v>
      </c>
      <c r="K46" s="4" t="s">
        <v>41</v>
      </c>
      <c r="L46" s="4" t="s">
        <v>20</v>
      </c>
      <c r="M46" s="4" t="s">
        <v>70</v>
      </c>
      <c r="N46" t="str">
        <f t="shared" ca="1" si="1"/>
        <v>Overdue</v>
      </c>
    </row>
    <row r="47" spans="1:15" ht="21.6" x14ac:dyDescent="0.35">
      <c r="A47" s="1" t="s">
        <v>71</v>
      </c>
      <c r="B47" s="4" t="s">
        <v>60</v>
      </c>
      <c r="C47" s="4" t="s">
        <v>505</v>
      </c>
      <c r="D47" s="4" t="s">
        <v>41</v>
      </c>
      <c r="E47" s="4" t="s">
        <v>222</v>
      </c>
      <c r="F47" s="6">
        <f t="shared" si="0"/>
        <v>46174</v>
      </c>
      <c r="G47" s="5">
        <v>1500</v>
      </c>
      <c r="H47" s="5">
        <v>1500</v>
      </c>
      <c r="I47" s="4" t="s">
        <v>17</v>
      </c>
      <c r="J47" s="4" t="s">
        <v>185</v>
      </c>
      <c r="K47" s="4" t="s">
        <v>20</v>
      </c>
      <c r="L47" s="4" t="s">
        <v>20</v>
      </c>
      <c r="M47" s="4" t="s">
        <v>506</v>
      </c>
      <c r="N47" t="str">
        <f t="shared" ca="1" si="1"/>
        <v>Current</v>
      </c>
    </row>
    <row r="48" spans="1:15" ht="21.6" x14ac:dyDescent="0.35">
      <c r="A48" s="1" t="s">
        <v>71</v>
      </c>
      <c r="B48" s="4" t="s">
        <v>60</v>
      </c>
      <c r="C48" s="4" t="s">
        <v>507</v>
      </c>
      <c r="D48" s="4" t="s">
        <v>16</v>
      </c>
      <c r="E48" s="4" t="s">
        <v>103</v>
      </c>
      <c r="F48" s="6">
        <f t="shared" si="0"/>
        <v>46167</v>
      </c>
      <c r="G48" s="5">
        <v>1000</v>
      </c>
      <c r="H48" s="5">
        <v>1000</v>
      </c>
      <c r="I48" s="4" t="s">
        <v>17</v>
      </c>
      <c r="J48" s="4" t="s">
        <v>185</v>
      </c>
      <c r="K48" s="4" t="s">
        <v>20</v>
      </c>
      <c r="L48" s="4" t="s">
        <v>20</v>
      </c>
      <c r="M48" s="4" t="s">
        <v>508</v>
      </c>
      <c r="N48" t="str">
        <f t="shared" ca="1" si="1"/>
        <v>Current</v>
      </c>
      <c r="O48" s="4"/>
    </row>
    <row r="49" spans="1:17" ht="21.6" x14ac:dyDescent="0.35">
      <c r="A49" s="1" t="s">
        <v>71</v>
      </c>
      <c r="B49" s="4" t="s">
        <v>60</v>
      </c>
      <c r="C49" s="4" t="s">
        <v>72</v>
      </c>
      <c r="D49" s="4" t="s">
        <v>73</v>
      </c>
      <c r="E49" s="4" t="s">
        <v>54</v>
      </c>
      <c r="F49" s="6">
        <f t="shared" si="0"/>
        <v>46157</v>
      </c>
      <c r="G49" s="5">
        <v>1450</v>
      </c>
      <c r="H49" s="5">
        <v>1450</v>
      </c>
      <c r="I49" s="4" t="s">
        <v>17</v>
      </c>
      <c r="J49" s="4" t="s">
        <v>18</v>
      </c>
      <c r="K49" s="4" t="s">
        <v>31</v>
      </c>
      <c r="L49" s="4" t="s">
        <v>20</v>
      </c>
      <c r="M49" s="4" t="s">
        <v>74</v>
      </c>
      <c r="N49" t="str">
        <f t="shared" ca="1" si="1"/>
        <v>Overdue</v>
      </c>
      <c r="O49" s="4"/>
    </row>
    <row r="50" spans="1:17" ht="21.6" x14ac:dyDescent="0.35">
      <c r="A50" s="1" t="s">
        <v>509</v>
      </c>
      <c r="B50" s="4" t="s">
        <v>60</v>
      </c>
      <c r="C50" s="4" t="s">
        <v>510</v>
      </c>
      <c r="D50" s="4" t="s">
        <v>41</v>
      </c>
      <c r="E50" s="4" t="s">
        <v>222</v>
      </c>
      <c r="F50" s="6">
        <f t="shared" si="0"/>
        <v>46174</v>
      </c>
      <c r="G50" s="5">
        <v>1250</v>
      </c>
      <c r="H50" s="5">
        <v>1250</v>
      </c>
      <c r="I50" s="4" t="s">
        <v>17</v>
      </c>
      <c r="J50" s="4" t="s">
        <v>185</v>
      </c>
      <c r="K50" s="4" t="s">
        <v>20</v>
      </c>
      <c r="L50" s="4" t="s">
        <v>20</v>
      </c>
      <c r="M50" s="4" t="s">
        <v>511</v>
      </c>
      <c r="N50" t="str">
        <f t="shared" ca="1" si="1"/>
        <v>Current</v>
      </c>
      <c r="O50" s="4"/>
    </row>
    <row r="51" spans="1:17" ht="15.6" x14ac:dyDescent="0.35">
      <c r="A51" s="1" t="s">
        <v>512</v>
      </c>
      <c r="B51" s="4" t="s">
        <v>60</v>
      </c>
      <c r="C51" s="4" t="s">
        <v>513</v>
      </c>
      <c r="D51" s="4" t="s">
        <v>45</v>
      </c>
      <c r="E51" s="4" t="s">
        <v>40</v>
      </c>
      <c r="F51" s="6">
        <f t="shared" si="0"/>
        <v>46169</v>
      </c>
      <c r="G51" s="5">
        <v>2000</v>
      </c>
      <c r="H51" s="5">
        <v>2000</v>
      </c>
      <c r="I51" s="4" t="s">
        <v>17</v>
      </c>
      <c r="J51" s="4" t="s">
        <v>185</v>
      </c>
      <c r="K51" s="4" t="s">
        <v>20</v>
      </c>
      <c r="L51" s="4" t="s">
        <v>20</v>
      </c>
      <c r="M51" s="4" t="s">
        <v>514</v>
      </c>
      <c r="N51" t="str">
        <f t="shared" ca="1" si="1"/>
        <v>Current</v>
      </c>
      <c r="O51" s="7"/>
    </row>
    <row r="52" spans="1:17" ht="21.6" x14ac:dyDescent="0.35">
      <c r="A52" s="1" t="s">
        <v>119</v>
      </c>
      <c r="B52" s="4" t="s">
        <v>60</v>
      </c>
      <c r="C52" s="4" t="s">
        <v>515</v>
      </c>
      <c r="D52" s="4" t="s">
        <v>54</v>
      </c>
      <c r="E52" s="4" t="s">
        <v>55</v>
      </c>
      <c r="F52" s="6">
        <f t="shared" si="0"/>
        <v>46171</v>
      </c>
      <c r="G52" s="5">
        <v>1200</v>
      </c>
      <c r="H52" s="5">
        <v>1200</v>
      </c>
      <c r="I52" s="4" t="s">
        <v>17</v>
      </c>
      <c r="J52" s="4" t="s">
        <v>185</v>
      </c>
      <c r="K52" s="4" t="s">
        <v>20</v>
      </c>
      <c r="L52" s="4" t="s">
        <v>20</v>
      </c>
      <c r="M52" s="4" t="s">
        <v>516</v>
      </c>
      <c r="N52" t="str">
        <f t="shared" ca="1" si="1"/>
        <v>Current</v>
      </c>
      <c r="O52" s="4"/>
    </row>
    <row r="53" spans="1:17" ht="21.6" x14ac:dyDescent="0.35">
      <c r="A53" s="1" t="s">
        <v>119</v>
      </c>
      <c r="B53" s="4" t="s">
        <v>60</v>
      </c>
      <c r="C53" s="4" t="s">
        <v>120</v>
      </c>
      <c r="D53" s="4" t="s">
        <v>19</v>
      </c>
      <c r="E53" s="4" t="s">
        <v>36</v>
      </c>
      <c r="F53" s="6">
        <f t="shared" si="0"/>
        <v>46154</v>
      </c>
      <c r="G53" s="5">
        <v>1200</v>
      </c>
      <c r="H53" s="5">
        <v>1200</v>
      </c>
      <c r="I53" s="4" t="s">
        <v>108</v>
      </c>
      <c r="J53" s="4" t="s">
        <v>18</v>
      </c>
      <c r="K53" s="4" t="s">
        <v>31</v>
      </c>
      <c r="L53" s="4" t="s">
        <v>20</v>
      </c>
      <c r="M53" s="4" t="s">
        <v>121</v>
      </c>
      <c r="N53" t="str">
        <f t="shared" ca="1" si="1"/>
        <v>Overdue</v>
      </c>
      <c r="O53" s="4"/>
    </row>
    <row r="54" spans="1:17" ht="21.6" x14ac:dyDescent="0.35">
      <c r="A54" s="1" t="s">
        <v>75</v>
      </c>
      <c r="B54" s="4" t="s">
        <v>60</v>
      </c>
      <c r="C54" s="4" t="s">
        <v>517</v>
      </c>
      <c r="D54" s="4" t="s">
        <v>41</v>
      </c>
      <c r="E54" s="4" t="s">
        <v>222</v>
      </c>
      <c r="F54" s="6">
        <f t="shared" si="0"/>
        <v>46174</v>
      </c>
      <c r="G54" s="5">
        <v>1500</v>
      </c>
      <c r="H54" s="5">
        <v>1500</v>
      </c>
      <c r="I54" s="4" t="s">
        <v>17</v>
      </c>
      <c r="J54" s="4" t="s">
        <v>185</v>
      </c>
      <c r="K54" s="4" t="s">
        <v>20</v>
      </c>
      <c r="L54" s="4" t="s">
        <v>20</v>
      </c>
      <c r="M54" s="4" t="s">
        <v>518</v>
      </c>
      <c r="N54" t="str">
        <f t="shared" ca="1" si="1"/>
        <v>Current</v>
      </c>
      <c r="O54" s="4"/>
    </row>
    <row r="55" spans="1:17" ht="21.6" x14ac:dyDescent="0.35">
      <c r="A55" s="1" t="s">
        <v>75</v>
      </c>
      <c r="B55" s="4" t="s">
        <v>60</v>
      </c>
      <c r="C55" s="4" t="s">
        <v>76</v>
      </c>
      <c r="D55" s="4" t="s">
        <v>15</v>
      </c>
      <c r="E55" s="4" t="s">
        <v>16</v>
      </c>
      <c r="F55" s="6">
        <f t="shared" si="0"/>
        <v>46153</v>
      </c>
      <c r="G55" s="5">
        <v>2000</v>
      </c>
      <c r="H55" s="5">
        <v>2000</v>
      </c>
      <c r="I55" s="4" t="s">
        <v>17</v>
      </c>
      <c r="J55" s="4" t="s">
        <v>18</v>
      </c>
      <c r="K55" s="4" t="s">
        <v>31</v>
      </c>
      <c r="L55" s="4" t="s">
        <v>20</v>
      </c>
      <c r="M55" s="4" t="s">
        <v>77</v>
      </c>
      <c r="N55" t="str">
        <f t="shared" ca="1" si="1"/>
        <v>Overdue</v>
      </c>
    </row>
    <row r="56" spans="1:17" ht="31.5" x14ac:dyDescent="0.35">
      <c r="A56" s="1" t="s">
        <v>519</v>
      </c>
      <c r="B56" s="4" t="s">
        <v>60</v>
      </c>
      <c r="C56" s="4" t="s">
        <v>520</v>
      </c>
      <c r="D56" s="4" t="s">
        <v>54</v>
      </c>
      <c r="E56" s="4" t="s">
        <v>55</v>
      </c>
      <c r="F56" s="6">
        <f t="shared" si="0"/>
        <v>46171</v>
      </c>
      <c r="G56" s="5">
        <v>500</v>
      </c>
      <c r="H56" s="5">
        <v>500</v>
      </c>
      <c r="I56" s="4" t="s">
        <v>17</v>
      </c>
      <c r="J56" s="4" t="s">
        <v>185</v>
      </c>
      <c r="K56" s="4" t="s">
        <v>20</v>
      </c>
      <c r="L56" s="4" t="s">
        <v>20</v>
      </c>
      <c r="M56" s="4" t="s">
        <v>521</v>
      </c>
      <c r="N56" t="str">
        <f t="shared" ca="1" si="1"/>
        <v>Current</v>
      </c>
      <c r="O56" s="4"/>
    </row>
    <row r="57" spans="1:17" ht="21.6" x14ac:dyDescent="0.35">
      <c r="A57" s="1" t="s">
        <v>78</v>
      </c>
      <c r="B57" s="4" t="s">
        <v>60</v>
      </c>
      <c r="C57" s="4" t="s">
        <v>79</v>
      </c>
      <c r="D57" s="4" t="s">
        <v>29</v>
      </c>
      <c r="E57" s="4" t="s">
        <v>30</v>
      </c>
      <c r="F57" s="6">
        <f t="shared" si="0"/>
        <v>46156</v>
      </c>
      <c r="G57" s="5">
        <v>1250</v>
      </c>
      <c r="H57" s="5">
        <v>1250</v>
      </c>
      <c r="I57" s="4" t="s">
        <v>17</v>
      </c>
      <c r="J57" s="4" t="s">
        <v>18</v>
      </c>
      <c r="K57" s="4" t="s">
        <v>31</v>
      </c>
      <c r="L57" s="4" t="s">
        <v>20</v>
      </c>
      <c r="M57" s="4" t="s">
        <v>80</v>
      </c>
      <c r="N57" t="str">
        <f t="shared" ca="1" si="1"/>
        <v>Overdue</v>
      </c>
      <c r="O57" s="4"/>
    </row>
    <row r="58" spans="1:17" ht="21.6" x14ac:dyDescent="0.35">
      <c r="A58" s="1" t="s">
        <v>122</v>
      </c>
      <c r="B58" s="4" t="s">
        <v>60</v>
      </c>
      <c r="C58" s="4" t="s">
        <v>123</v>
      </c>
      <c r="D58" s="4" t="s">
        <v>124</v>
      </c>
      <c r="E58" s="4" t="s">
        <v>125</v>
      </c>
      <c r="F58" s="6">
        <f t="shared" si="0"/>
        <v>46162</v>
      </c>
      <c r="G58" s="5">
        <v>1800</v>
      </c>
      <c r="H58" s="5">
        <v>1800</v>
      </c>
      <c r="I58" s="4" t="s">
        <v>108</v>
      </c>
      <c r="J58" s="4" t="s">
        <v>18</v>
      </c>
      <c r="K58" s="4" t="s">
        <v>41</v>
      </c>
      <c r="L58" s="4" t="s">
        <v>20</v>
      </c>
      <c r="M58" s="4" t="s">
        <v>126</v>
      </c>
      <c r="N58" t="str">
        <f t="shared" ca="1" si="1"/>
        <v>Overdue</v>
      </c>
    </row>
    <row r="59" spans="1:17" ht="21.6" x14ac:dyDescent="0.35">
      <c r="A59" s="1" t="s">
        <v>81</v>
      </c>
      <c r="B59" s="4" t="s">
        <v>60</v>
      </c>
      <c r="C59" s="4" t="s">
        <v>82</v>
      </c>
      <c r="D59" s="4" t="s">
        <v>15</v>
      </c>
      <c r="E59" s="4" t="s">
        <v>16</v>
      </c>
      <c r="F59" s="6">
        <f t="shared" si="0"/>
        <v>46153</v>
      </c>
      <c r="G59" s="5">
        <v>3000</v>
      </c>
      <c r="H59" s="5">
        <v>3000</v>
      </c>
      <c r="I59" s="4" t="s">
        <v>17</v>
      </c>
      <c r="J59" s="4" t="s">
        <v>18</v>
      </c>
      <c r="K59" s="4" t="s">
        <v>54</v>
      </c>
      <c r="L59" s="4" t="s">
        <v>20</v>
      </c>
      <c r="M59" s="4" t="s">
        <v>83</v>
      </c>
      <c r="N59" t="str">
        <f t="shared" ca="1" si="1"/>
        <v>Overdue</v>
      </c>
    </row>
    <row r="60" spans="1:17" ht="21.6" x14ac:dyDescent="0.35">
      <c r="A60" s="1" t="s">
        <v>522</v>
      </c>
      <c r="B60" s="4" t="s">
        <v>60</v>
      </c>
      <c r="C60" s="4" t="s">
        <v>523</v>
      </c>
      <c r="D60" s="4" t="s">
        <v>54</v>
      </c>
      <c r="E60" s="4" t="s">
        <v>55</v>
      </c>
      <c r="F60" s="6">
        <f t="shared" si="0"/>
        <v>46171</v>
      </c>
      <c r="G60" s="5">
        <v>1625</v>
      </c>
      <c r="H60" s="5">
        <v>1625</v>
      </c>
      <c r="I60" s="4" t="s">
        <v>108</v>
      </c>
      <c r="J60" s="4" t="s">
        <v>185</v>
      </c>
      <c r="K60" s="4" t="s">
        <v>20</v>
      </c>
      <c r="L60" s="4" t="s">
        <v>20</v>
      </c>
      <c r="M60" s="4" t="s">
        <v>524</v>
      </c>
      <c r="N60" t="str">
        <f t="shared" ca="1" si="1"/>
        <v>Current</v>
      </c>
    </row>
    <row r="61" spans="1:17" ht="21.6" x14ac:dyDescent="0.35">
      <c r="A61" s="1" t="s">
        <v>84</v>
      </c>
      <c r="B61" s="4" t="s">
        <v>60</v>
      </c>
      <c r="C61" s="4" t="s">
        <v>85</v>
      </c>
      <c r="D61" s="4" t="s">
        <v>86</v>
      </c>
      <c r="E61" s="4" t="s">
        <v>16</v>
      </c>
      <c r="F61" s="6">
        <f t="shared" si="0"/>
        <v>46153</v>
      </c>
      <c r="G61" s="5">
        <v>1410</v>
      </c>
      <c r="H61" s="5">
        <v>1410</v>
      </c>
      <c r="I61" s="4" t="s">
        <v>17</v>
      </c>
      <c r="J61" s="4" t="s">
        <v>18</v>
      </c>
      <c r="K61" s="4" t="s">
        <v>19</v>
      </c>
      <c r="L61" s="4" t="s">
        <v>20</v>
      </c>
      <c r="M61" s="4" t="s">
        <v>87</v>
      </c>
      <c r="N61" t="str">
        <f t="shared" ca="1" si="1"/>
        <v>Overdue</v>
      </c>
    </row>
    <row r="62" spans="1:17" ht="15.6" x14ac:dyDescent="0.35">
      <c r="A62" s="1" t="s">
        <v>129</v>
      </c>
      <c r="B62" s="4" t="s">
        <v>130</v>
      </c>
      <c r="C62" s="4" t="s">
        <v>131</v>
      </c>
      <c r="D62" s="4" t="s">
        <v>132</v>
      </c>
      <c r="E62" s="4" t="s">
        <v>133</v>
      </c>
      <c r="F62" s="6">
        <f t="shared" si="0"/>
        <v>46118</v>
      </c>
      <c r="G62" s="5">
        <v>12825</v>
      </c>
      <c r="H62" s="5">
        <v>12825</v>
      </c>
      <c r="I62" s="4" t="s">
        <v>17</v>
      </c>
      <c r="J62" s="4" t="s">
        <v>20</v>
      </c>
      <c r="K62" s="4" t="s">
        <v>20</v>
      </c>
      <c r="L62" s="4" t="s">
        <v>20</v>
      </c>
      <c r="M62" s="4" t="s">
        <v>134</v>
      </c>
      <c r="N62" t="str">
        <f t="shared" ca="1" si="1"/>
        <v>Overdue</v>
      </c>
    </row>
    <row r="63" spans="1:17" ht="15.6" x14ac:dyDescent="0.35">
      <c r="A63" s="1" t="s">
        <v>129</v>
      </c>
      <c r="B63" s="4" t="s">
        <v>130</v>
      </c>
      <c r="C63" s="4" t="s">
        <v>135</v>
      </c>
      <c r="D63" s="4" t="s">
        <v>29</v>
      </c>
      <c r="E63" s="4" t="s">
        <v>136</v>
      </c>
      <c r="F63" s="6">
        <f t="shared" si="0"/>
        <v>46172</v>
      </c>
      <c r="G63" s="5">
        <v>12491.41</v>
      </c>
      <c r="H63" s="5">
        <v>12491.41</v>
      </c>
      <c r="I63" s="4" t="s">
        <v>17</v>
      </c>
      <c r="J63" s="4" t="s">
        <v>20</v>
      </c>
      <c r="K63" s="4" t="s">
        <v>20</v>
      </c>
      <c r="L63" s="4" t="s">
        <v>20</v>
      </c>
      <c r="M63" s="4" t="s">
        <v>137</v>
      </c>
      <c r="N63" t="str">
        <f t="shared" ca="1" si="1"/>
        <v>Current</v>
      </c>
    </row>
    <row r="64" spans="1:17" ht="15.6" x14ac:dyDescent="0.35">
      <c r="A64" s="1" t="s">
        <v>525</v>
      </c>
      <c r="B64" s="4" t="s">
        <v>130</v>
      </c>
      <c r="C64" s="4" t="s">
        <v>20</v>
      </c>
      <c r="D64" s="4" t="s">
        <v>40</v>
      </c>
      <c r="E64" s="4" t="s">
        <v>40</v>
      </c>
      <c r="F64" s="6">
        <f t="shared" si="0"/>
        <v>46169</v>
      </c>
      <c r="G64" s="5">
        <v>6000</v>
      </c>
      <c r="H64" s="5">
        <v>6000</v>
      </c>
      <c r="I64" s="4" t="s">
        <v>17</v>
      </c>
      <c r="J64" s="4" t="s">
        <v>20</v>
      </c>
      <c r="K64" s="4" t="s">
        <v>20</v>
      </c>
      <c r="L64" s="4" t="s">
        <v>20</v>
      </c>
      <c r="M64" s="4" t="s">
        <v>526</v>
      </c>
      <c r="N64" t="str">
        <f t="shared" ca="1" si="1"/>
        <v>Current</v>
      </c>
      <c r="Q64" t="s">
        <v>527</v>
      </c>
    </row>
    <row r="65" spans="1:16" ht="15.6" x14ac:dyDescent="0.35">
      <c r="A65" s="1" t="s">
        <v>525</v>
      </c>
      <c r="B65" s="4" t="s">
        <v>130</v>
      </c>
      <c r="C65" s="4" t="s">
        <v>20</v>
      </c>
      <c r="D65" s="4" t="s">
        <v>528</v>
      </c>
      <c r="E65" s="4" t="s">
        <v>528</v>
      </c>
      <c r="F65" s="6">
        <f t="shared" si="0"/>
        <v>46239</v>
      </c>
      <c r="G65" s="5">
        <v>6000</v>
      </c>
      <c r="H65" s="5">
        <v>6000</v>
      </c>
      <c r="I65" s="4" t="s">
        <v>17</v>
      </c>
      <c r="J65" s="4" t="s">
        <v>20</v>
      </c>
      <c r="K65" s="4" t="s">
        <v>20</v>
      </c>
      <c r="L65" s="4" t="s">
        <v>20</v>
      </c>
      <c r="M65" s="4" t="s">
        <v>526</v>
      </c>
      <c r="N65" t="str">
        <f t="shared" ca="1" si="1"/>
        <v>Not Due</v>
      </c>
      <c r="P65" s="4"/>
    </row>
    <row r="66" spans="1:16" ht="15.6" x14ac:dyDescent="0.35">
      <c r="A66" s="1" t="s">
        <v>392</v>
      </c>
      <c r="B66" s="4" t="s">
        <v>393</v>
      </c>
      <c r="C66" s="4" t="s">
        <v>20</v>
      </c>
      <c r="D66" s="4" t="s">
        <v>246</v>
      </c>
      <c r="E66" s="4" t="s">
        <v>246</v>
      </c>
      <c r="F66" s="6">
        <f t="shared" ref="F66:F130" si="2">+E66*1</f>
        <v>46129</v>
      </c>
      <c r="G66" s="5">
        <v>28100</v>
      </c>
      <c r="H66" s="5">
        <v>28100</v>
      </c>
      <c r="I66" s="4" t="s">
        <v>394</v>
      </c>
      <c r="J66" s="4" t="s">
        <v>20</v>
      </c>
      <c r="K66" s="4" t="s">
        <v>20</v>
      </c>
      <c r="L66" s="4" t="s">
        <v>20</v>
      </c>
      <c r="M66" s="4" t="s">
        <v>395</v>
      </c>
      <c r="N66" t="str">
        <f t="shared" ref="N66:N130" ca="1" si="3">IF(F66&lt;TODAY(),"Overdue",IF(F66&lt;=TODAY()+14,"Current","Not Due"))</f>
        <v>Overdue</v>
      </c>
      <c r="O66" s="4"/>
    </row>
    <row r="67" spans="1:16" ht="15.6" x14ac:dyDescent="0.35">
      <c r="A67" s="1" t="s">
        <v>525</v>
      </c>
      <c r="B67" s="4" t="s">
        <v>130</v>
      </c>
      <c r="C67" s="4" t="s">
        <v>20</v>
      </c>
      <c r="D67" s="4" t="s">
        <v>529</v>
      </c>
      <c r="E67" s="4" t="s">
        <v>529</v>
      </c>
      <c r="F67" s="6">
        <f t="shared" si="2"/>
        <v>46183</v>
      </c>
      <c r="G67" s="5">
        <v>6000</v>
      </c>
      <c r="H67" s="5">
        <v>6000</v>
      </c>
      <c r="I67" s="4" t="s">
        <v>17</v>
      </c>
      <c r="J67" s="4" t="s">
        <v>20</v>
      </c>
      <c r="K67" s="4" t="s">
        <v>20</v>
      </c>
      <c r="L67" s="4" t="s">
        <v>20</v>
      </c>
      <c r="M67" s="4" t="s">
        <v>526</v>
      </c>
      <c r="N67" t="str">
        <f t="shared" ca="1" si="3"/>
        <v>Not Due</v>
      </c>
      <c r="O67" s="4"/>
    </row>
    <row r="68" spans="1:16" ht="15.6" x14ac:dyDescent="0.35">
      <c r="A68" s="1" t="s">
        <v>525</v>
      </c>
      <c r="B68" s="4" t="s">
        <v>130</v>
      </c>
      <c r="C68" s="4" t="s">
        <v>20</v>
      </c>
      <c r="D68" s="4" t="s">
        <v>530</v>
      </c>
      <c r="E68" s="4" t="s">
        <v>530</v>
      </c>
      <c r="F68" s="6">
        <f t="shared" si="2"/>
        <v>46197</v>
      </c>
      <c r="G68" s="5">
        <v>6000</v>
      </c>
      <c r="H68" s="5">
        <v>6000</v>
      </c>
      <c r="I68" s="4" t="s">
        <v>17</v>
      </c>
      <c r="J68" s="4" t="s">
        <v>20</v>
      </c>
      <c r="K68" s="4" t="s">
        <v>20</v>
      </c>
      <c r="L68" s="4" t="s">
        <v>20</v>
      </c>
      <c r="M68" s="4" t="s">
        <v>526</v>
      </c>
      <c r="N68" t="str">
        <f t="shared" ca="1" si="3"/>
        <v>Not Due</v>
      </c>
    </row>
    <row r="69" spans="1:16" ht="15.6" x14ac:dyDescent="0.35">
      <c r="A69" s="1" t="s">
        <v>525</v>
      </c>
      <c r="B69" s="4" t="s">
        <v>130</v>
      </c>
      <c r="C69" s="4" t="s">
        <v>20</v>
      </c>
      <c r="D69" s="4" t="s">
        <v>531</v>
      </c>
      <c r="E69" s="4" t="s">
        <v>531</v>
      </c>
      <c r="F69" s="6">
        <f t="shared" si="2"/>
        <v>46211</v>
      </c>
      <c r="G69" s="5">
        <v>6000</v>
      </c>
      <c r="H69" s="5">
        <v>6000</v>
      </c>
      <c r="I69" s="4" t="s">
        <v>17</v>
      </c>
      <c r="J69" s="4" t="s">
        <v>20</v>
      </c>
      <c r="K69" s="4" t="s">
        <v>20</v>
      </c>
      <c r="L69" s="4" t="s">
        <v>20</v>
      </c>
      <c r="M69" s="4" t="s">
        <v>526</v>
      </c>
      <c r="N69" t="str">
        <f t="shared" ca="1" si="3"/>
        <v>Not Due</v>
      </c>
      <c r="O69" s="4"/>
    </row>
    <row r="70" spans="1:16" ht="15.6" x14ac:dyDescent="0.35">
      <c r="A70" s="1" t="s">
        <v>525</v>
      </c>
      <c r="B70" s="4" t="s">
        <v>130</v>
      </c>
      <c r="C70" s="4" t="s">
        <v>20</v>
      </c>
      <c r="D70" s="4" t="s">
        <v>532</v>
      </c>
      <c r="E70" s="4" t="s">
        <v>532</v>
      </c>
      <c r="F70" s="6">
        <f t="shared" si="2"/>
        <v>46225</v>
      </c>
      <c r="G70" s="5">
        <v>6000</v>
      </c>
      <c r="H70" s="5">
        <v>6000</v>
      </c>
      <c r="I70" s="4" t="s">
        <v>17</v>
      </c>
      <c r="J70" s="4" t="s">
        <v>20</v>
      </c>
      <c r="K70" s="4" t="s">
        <v>20</v>
      </c>
      <c r="L70" s="4" t="s">
        <v>20</v>
      </c>
      <c r="M70" s="4" t="s">
        <v>526</v>
      </c>
      <c r="N70" t="str">
        <f t="shared" ca="1" si="3"/>
        <v>Not Due</v>
      </c>
    </row>
    <row r="71" spans="1:16" ht="15.6" x14ac:dyDescent="0.35">
      <c r="A71" s="1" t="s">
        <v>525</v>
      </c>
      <c r="B71" s="4" t="s">
        <v>130</v>
      </c>
      <c r="C71" s="4" t="s">
        <v>20</v>
      </c>
      <c r="D71" s="4" t="s">
        <v>533</v>
      </c>
      <c r="E71" s="4" t="s">
        <v>533</v>
      </c>
      <c r="F71" s="6">
        <f t="shared" si="2"/>
        <v>46253</v>
      </c>
      <c r="G71" s="5">
        <v>6000</v>
      </c>
      <c r="H71" s="5">
        <v>6000</v>
      </c>
      <c r="I71" s="4" t="s">
        <v>17</v>
      </c>
      <c r="J71" s="4" t="s">
        <v>20</v>
      </c>
      <c r="K71" s="4" t="s">
        <v>20</v>
      </c>
      <c r="L71" s="4" t="s">
        <v>20</v>
      </c>
      <c r="M71" s="4" t="s">
        <v>526</v>
      </c>
      <c r="N71" t="str">
        <f t="shared" ca="1" si="3"/>
        <v>Not Due</v>
      </c>
    </row>
    <row r="72" spans="1:16" ht="15.6" x14ac:dyDescent="0.35">
      <c r="A72" s="1" t="s">
        <v>525</v>
      </c>
      <c r="B72" s="4" t="s">
        <v>130</v>
      </c>
      <c r="C72" s="4" t="s">
        <v>20</v>
      </c>
      <c r="D72" s="4" t="s">
        <v>534</v>
      </c>
      <c r="E72" s="4" t="s">
        <v>534</v>
      </c>
      <c r="F72" s="6">
        <f t="shared" si="2"/>
        <v>46267</v>
      </c>
      <c r="G72" s="5">
        <v>6000</v>
      </c>
      <c r="H72" s="5">
        <v>6000</v>
      </c>
      <c r="I72" s="4" t="s">
        <v>17</v>
      </c>
      <c r="J72" s="4" t="s">
        <v>20</v>
      </c>
      <c r="K72" s="4" t="s">
        <v>20</v>
      </c>
      <c r="L72" s="4" t="s">
        <v>20</v>
      </c>
      <c r="M72" s="4" t="s">
        <v>526</v>
      </c>
      <c r="N72" t="str">
        <f t="shared" ca="1" si="3"/>
        <v>Not Due</v>
      </c>
    </row>
    <row r="73" spans="1:16" ht="15.6" x14ac:dyDescent="0.35">
      <c r="A73" s="1" t="s">
        <v>525</v>
      </c>
      <c r="B73" s="4" t="s">
        <v>130</v>
      </c>
      <c r="C73" s="4" t="s">
        <v>20</v>
      </c>
      <c r="D73" s="4" t="s">
        <v>535</v>
      </c>
      <c r="E73" s="4" t="s">
        <v>535</v>
      </c>
      <c r="F73" s="6">
        <f t="shared" si="2"/>
        <v>46281</v>
      </c>
      <c r="G73" s="5">
        <v>6000</v>
      </c>
      <c r="H73" s="5">
        <v>6000</v>
      </c>
      <c r="I73" s="4" t="s">
        <v>17</v>
      </c>
      <c r="J73" s="4" t="s">
        <v>20</v>
      </c>
      <c r="K73" s="4" t="s">
        <v>20</v>
      </c>
      <c r="L73" s="4" t="s">
        <v>20</v>
      </c>
      <c r="M73" s="4" t="s">
        <v>526</v>
      </c>
      <c r="N73" t="str">
        <f t="shared" ca="1" si="3"/>
        <v>Not Due</v>
      </c>
      <c r="O73" s="4"/>
    </row>
    <row r="74" spans="1:16" ht="15.6" x14ac:dyDescent="0.35">
      <c r="A74" s="1" t="s">
        <v>525</v>
      </c>
      <c r="B74" s="4" t="s">
        <v>130</v>
      </c>
      <c r="C74" s="4" t="s">
        <v>20</v>
      </c>
      <c r="D74" s="4" t="s">
        <v>536</v>
      </c>
      <c r="E74" s="4" t="s">
        <v>536</v>
      </c>
      <c r="F74" s="6">
        <f t="shared" si="2"/>
        <v>46295</v>
      </c>
      <c r="G74" s="5">
        <v>6000</v>
      </c>
      <c r="H74" s="5">
        <v>6000</v>
      </c>
      <c r="I74" s="4" t="s">
        <v>17</v>
      </c>
      <c r="J74" s="4" t="s">
        <v>20</v>
      </c>
      <c r="K74" s="4" t="s">
        <v>20</v>
      </c>
      <c r="L74" s="4" t="s">
        <v>20</v>
      </c>
      <c r="M74" s="4" t="s">
        <v>526</v>
      </c>
      <c r="N74" t="str">
        <f t="shared" ca="1" si="3"/>
        <v>Not Due</v>
      </c>
    </row>
    <row r="75" spans="1:16" ht="15.6" x14ac:dyDescent="0.35">
      <c r="A75" s="1" t="s">
        <v>525</v>
      </c>
      <c r="B75" s="4" t="s">
        <v>130</v>
      </c>
      <c r="C75" s="4" t="s">
        <v>20</v>
      </c>
      <c r="D75" s="4" t="s">
        <v>537</v>
      </c>
      <c r="E75" s="4" t="s">
        <v>537</v>
      </c>
      <c r="F75" s="6">
        <f t="shared" si="2"/>
        <v>46309</v>
      </c>
      <c r="G75" s="5">
        <v>6000</v>
      </c>
      <c r="H75" s="5">
        <v>6000</v>
      </c>
      <c r="I75" s="4" t="s">
        <v>17</v>
      </c>
      <c r="J75" s="4" t="s">
        <v>20</v>
      </c>
      <c r="K75" s="4" t="s">
        <v>20</v>
      </c>
      <c r="L75" s="4" t="s">
        <v>20</v>
      </c>
      <c r="M75" s="4" t="s">
        <v>526</v>
      </c>
      <c r="N75" t="str">
        <f t="shared" ca="1" si="3"/>
        <v>Not Due</v>
      </c>
      <c r="O75" s="7"/>
    </row>
    <row r="76" spans="1:16" ht="15.6" x14ac:dyDescent="0.35">
      <c r="A76" s="1" t="s">
        <v>525</v>
      </c>
      <c r="B76" s="4" t="s">
        <v>130</v>
      </c>
      <c r="C76" s="4" t="s">
        <v>20</v>
      </c>
      <c r="D76" s="4" t="s">
        <v>538</v>
      </c>
      <c r="E76" s="4" t="s">
        <v>538</v>
      </c>
      <c r="F76" s="6">
        <f t="shared" si="2"/>
        <v>46323</v>
      </c>
      <c r="G76" s="5">
        <v>6000</v>
      </c>
      <c r="H76" s="5">
        <v>6000</v>
      </c>
      <c r="I76" s="4" t="s">
        <v>17</v>
      </c>
      <c r="J76" s="4" t="s">
        <v>20</v>
      </c>
      <c r="K76" s="4" t="s">
        <v>20</v>
      </c>
      <c r="L76" s="4" t="s">
        <v>20</v>
      </c>
      <c r="M76" s="4" t="s">
        <v>526</v>
      </c>
      <c r="N76" t="str">
        <f t="shared" ca="1" si="3"/>
        <v>Not Due</v>
      </c>
      <c r="O76" s="4"/>
    </row>
    <row r="77" spans="1:16" ht="15.6" x14ac:dyDescent="0.35">
      <c r="A77" s="1" t="s">
        <v>525</v>
      </c>
      <c r="B77" s="4" t="s">
        <v>130</v>
      </c>
      <c r="C77" s="4" t="s">
        <v>20</v>
      </c>
      <c r="D77" s="4" t="s">
        <v>539</v>
      </c>
      <c r="E77" s="4" t="s">
        <v>539</v>
      </c>
      <c r="F77" s="6">
        <f t="shared" si="2"/>
        <v>46337</v>
      </c>
      <c r="G77" s="5">
        <v>6000</v>
      </c>
      <c r="H77" s="5">
        <v>6000</v>
      </c>
      <c r="I77" s="4" t="s">
        <v>17</v>
      </c>
      <c r="J77" s="4" t="s">
        <v>20</v>
      </c>
      <c r="K77" s="4" t="s">
        <v>20</v>
      </c>
      <c r="L77" s="4" t="s">
        <v>20</v>
      </c>
      <c r="M77" s="4" t="s">
        <v>526</v>
      </c>
      <c r="N77" t="str">
        <f t="shared" ca="1" si="3"/>
        <v>Not Due</v>
      </c>
      <c r="O77" s="7"/>
      <c r="P77" s="7"/>
    </row>
    <row r="78" spans="1:16" ht="15.6" x14ac:dyDescent="0.35">
      <c r="A78" s="1" t="s">
        <v>525</v>
      </c>
      <c r="B78" s="4" t="s">
        <v>130</v>
      </c>
      <c r="C78" s="4" t="s">
        <v>20</v>
      </c>
      <c r="D78" s="4" t="s">
        <v>540</v>
      </c>
      <c r="E78" s="4" t="s">
        <v>540</v>
      </c>
      <c r="F78" s="6">
        <f t="shared" si="2"/>
        <v>46351</v>
      </c>
      <c r="G78" s="5">
        <v>6000</v>
      </c>
      <c r="H78" s="5">
        <v>6000</v>
      </c>
      <c r="I78" s="4" t="s">
        <v>17</v>
      </c>
      <c r="J78" s="4" t="s">
        <v>20</v>
      </c>
      <c r="K78" s="4" t="s">
        <v>20</v>
      </c>
      <c r="L78" s="4" t="s">
        <v>20</v>
      </c>
      <c r="M78" s="4" t="s">
        <v>526</v>
      </c>
      <c r="N78" t="str">
        <f t="shared" ca="1" si="3"/>
        <v>Not Due</v>
      </c>
    </row>
    <row r="79" spans="1:16" ht="15.6" x14ac:dyDescent="0.35">
      <c r="A79" s="1" t="s">
        <v>525</v>
      </c>
      <c r="B79" s="4" t="s">
        <v>130</v>
      </c>
      <c r="C79" s="4" t="s">
        <v>20</v>
      </c>
      <c r="D79" s="4" t="s">
        <v>541</v>
      </c>
      <c r="E79" s="4" t="s">
        <v>541</v>
      </c>
      <c r="F79" s="6">
        <f t="shared" si="2"/>
        <v>46365</v>
      </c>
      <c r="G79" s="5">
        <v>6000</v>
      </c>
      <c r="H79" s="5">
        <v>6000</v>
      </c>
      <c r="I79" s="4" t="s">
        <v>17</v>
      </c>
      <c r="J79" s="4" t="s">
        <v>20</v>
      </c>
      <c r="K79" s="4" t="s">
        <v>20</v>
      </c>
      <c r="L79" s="4" t="s">
        <v>20</v>
      </c>
      <c r="M79" s="4" t="s">
        <v>526</v>
      </c>
      <c r="N79" t="str">
        <f t="shared" ca="1" si="3"/>
        <v>Not Due</v>
      </c>
    </row>
    <row r="80" spans="1:16" ht="15.6" x14ac:dyDescent="0.35">
      <c r="A80" s="1" t="s">
        <v>525</v>
      </c>
      <c r="B80" s="4" t="s">
        <v>130</v>
      </c>
      <c r="C80" s="4" t="s">
        <v>20</v>
      </c>
      <c r="D80" s="4" t="s">
        <v>542</v>
      </c>
      <c r="E80" s="4" t="s">
        <v>542</v>
      </c>
      <c r="F80" s="6">
        <f t="shared" si="2"/>
        <v>46379</v>
      </c>
      <c r="G80" s="5">
        <v>6000</v>
      </c>
      <c r="H80" s="5">
        <v>6000</v>
      </c>
      <c r="I80" s="4" t="s">
        <v>17</v>
      </c>
      <c r="J80" s="4" t="s">
        <v>20</v>
      </c>
      <c r="K80" s="4" t="s">
        <v>20</v>
      </c>
      <c r="L80" s="4" t="s">
        <v>20</v>
      </c>
      <c r="M80" s="4" t="s">
        <v>526</v>
      </c>
      <c r="N80" t="str">
        <f t="shared" ca="1" si="3"/>
        <v>Not Due</v>
      </c>
      <c r="O80" s="4"/>
    </row>
    <row r="81" spans="1:16" ht="15.6" x14ac:dyDescent="0.35">
      <c r="A81" s="1" t="s">
        <v>342</v>
      </c>
      <c r="B81" s="4" t="s">
        <v>139</v>
      </c>
      <c r="C81" s="4" t="s">
        <v>343</v>
      </c>
      <c r="D81" s="4" t="s">
        <v>16</v>
      </c>
      <c r="E81" s="4" t="s">
        <v>41</v>
      </c>
      <c r="F81" s="6">
        <f t="shared" si="2"/>
        <v>46160</v>
      </c>
      <c r="G81" s="5">
        <v>9328.92</v>
      </c>
      <c r="H81" s="5">
        <v>9328.92</v>
      </c>
      <c r="I81" s="4" t="s">
        <v>108</v>
      </c>
      <c r="J81" s="4" t="s">
        <v>141</v>
      </c>
      <c r="K81" s="99">
        <v>46161</v>
      </c>
      <c r="L81" s="4" t="s">
        <v>20</v>
      </c>
      <c r="M81" s="4" t="s">
        <v>344</v>
      </c>
      <c r="N81" t="str">
        <f t="shared" ca="1" si="3"/>
        <v>Overdue</v>
      </c>
    </row>
    <row r="82" spans="1:16" ht="31.5" x14ac:dyDescent="0.35">
      <c r="A82" s="1" t="s">
        <v>138</v>
      </c>
      <c r="B82" s="4" t="s">
        <v>139</v>
      </c>
      <c r="C82" s="4" t="s">
        <v>140</v>
      </c>
      <c r="D82" s="4" t="s">
        <v>96</v>
      </c>
      <c r="E82" s="4" t="s">
        <v>36</v>
      </c>
      <c r="F82" s="6">
        <f t="shared" si="2"/>
        <v>46154</v>
      </c>
      <c r="G82" s="5">
        <v>8373.75</v>
      </c>
      <c r="H82" s="5">
        <v>8373.75</v>
      </c>
      <c r="I82" s="4" t="s">
        <v>17</v>
      </c>
      <c r="J82" s="4" t="s">
        <v>141</v>
      </c>
      <c r="K82" s="6">
        <v>46153</v>
      </c>
      <c r="L82" s="4" t="s">
        <v>20</v>
      </c>
      <c r="M82" s="4" t="s">
        <v>142</v>
      </c>
      <c r="N82" t="str">
        <f t="shared" ca="1" si="3"/>
        <v>Overdue</v>
      </c>
    </row>
    <row r="83" spans="1:16" ht="31.5" x14ac:dyDescent="0.35">
      <c r="A83" s="1" t="s">
        <v>138</v>
      </c>
      <c r="B83" s="4" t="s">
        <v>139</v>
      </c>
      <c r="C83" s="4" t="s">
        <v>543</v>
      </c>
      <c r="D83" s="4" t="s">
        <v>96</v>
      </c>
      <c r="E83" s="4" t="s">
        <v>544</v>
      </c>
      <c r="F83" s="6">
        <f t="shared" si="2"/>
        <v>46177</v>
      </c>
      <c r="G83" s="5">
        <v>4394.95</v>
      </c>
      <c r="H83" s="5">
        <v>4394.95</v>
      </c>
      <c r="I83" s="4" t="s">
        <v>17</v>
      </c>
      <c r="J83" s="4" t="s">
        <v>141</v>
      </c>
      <c r="K83" s="4" t="s">
        <v>16</v>
      </c>
      <c r="L83" s="4" t="s">
        <v>20</v>
      </c>
      <c r="M83" s="4" t="s">
        <v>142</v>
      </c>
      <c r="N83" t="str">
        <f t="shared" ca="1" si="3"/>
        <v>Current</v>
      </c>
      <c r="O83" s="4"/>
    </row>
    <row r="84" spans="1:16" ht="15.6" x14ac:dyDescent="0.35">
      <c r="A84" s="1" t="s">
        <v>345</v>
      </c>
      <c r="B84" s="4" t="s">
        <v>139</v>
      </c>
      <c r="C84" s="4" t="s">
        <v>346</v>
      </c>
      <c r="D84" s="4" t="s">
        <v>45</v>
      </c>
      <c r="E84" s="4" t="s">
        <v>125</v>
      </c>
      <c r="F84" s="6">
        <f t="shared" si="2"/>
        <v>46162</v>
      </c>
      <c r="G84" s="5">
        <v>5688.69</v>
      </c>
      <c r="H84" s="5">
        <v>5688.69</v>
      </c>
      <c r="I84" s="4" t="s">
        <v>108</v>
      </c>
      <c r="J84" s="4" t="s">
        <v>185</v>
      </c>
      <c r="K84" s="4" t="s">
        <v>20</v>
      </c>
      <c r="L84" s="4" t="s">
        <v>20</v>
      </c>
      <c r="M84" s="4" t="s">
        <v>347</v>
      </c>
      <c r="N84" t="str">
        <f t="shared" ca="1" si="3"/>
        <v>Overdue</v>
      </c>
      <c r="O84" s="7"/>
    </row>
    <row r="85" spans="1:16" ht="15.6" x14ac:dyDescent="0.35">
      <c r="A85" s="1" t="s">
        <v>143</v>
      </c>
      <c r="B85" s="4" t="s">
        <v>139</v>
      </c>
      <c r="C85" s="4" t="s">
        <v>144</v>
      </c>
      <c r="D85" s="4" t="s">
        <v>145</v>
      </c>
      <c r="E85" s="4" t="s">
        <v>146</v>
      </c>
      <c r="F85" s="6">
        <f t="shared" si="2"/>
        <v>46152</v>
      </c>
      <c r="G85" s="5">
        <v>6422</v>
      </c>
      <c r="H85" s="5">
        <v>6422</v>
      </c>
      <c r="I85" s="4" t="s">
        <v>17</v>
      </c>
      <c r="J85" s="4" t="s">
        <v>141</v>
      </c>
      <c r="K85" s="4" t="s">
        <v>86</v>
      </c>
      <c r="L85" s="4" t="s">
        <v>20</v>
      </c>
      <c r="M85" s="4" t="s">
        <v>147</v>
      </c>
      <c r="N85" t="str">
        <f t="shared" ca="1" si="3"/>
        <v>Overdue</v>
      </c>
    </row>
    <row r="86" spans="1:16" ht="15.6" x14ac:dyDescent="0.35">
      <c r="A86" s="1" t="s">
        <v>143</v>
      </c>
      <c r="B86" s="4" t="s">
        <v>139</v>
      </c>
      <c r="C86" s="4" t="s">
        <v>545</v>
      </c>
      <c r="D86" s="4" t="s">
        <v>63</v>
      </c>
      <c r="E86" s="4" t="s">
        <v>546</v>
      </c>
      <c r="F86" s="6">
        <f t="shared" si="2"/>
        <v>46184</v>
      </c>
      <c r="G86" s="5">
        <v>4758.6000000000004</v>
      </c>
      <c r="H86" s="5">
        <v>4758.6000000000004</v>
      </c>
      <c r="I86" s="4" t="s">
        <v>17</v>
      </c>
      <c r="J86" s="4" t="s">
        <v>185</v>
      </c>
      <c r="K86" s="4" t="s">
        <v>20</v>
      </c>
      <c r="L86" s="4" t="s">
        <v>20</v>
      </c>
      <c r="M86" s="4" t="s">
        <v>547</v>
      </c>
      <c r="N86" t="str">
        <f t="shared" ca="1" si="3"/>
        <v>Not Due</v>
      </c>
    </row>
    <row r="87" spans="1:16" ht="15.6" x14ac:dyDescent="0.35">
      <c r="A87" s="1" t="s">
        <v>143</v>
      </c>
      <c r="B87" s="4" t="s">
        <v>139</v>
      </c>
      <c r="C87" s="4" t="s">
        <v>148</v>
      </c>
      <c r="D87" s="4" t="s">
        <v>149</v>
      </c>
      <c r="E87" s="4" t="s">
        <v>40</v>
      </c>
      <c r="F87" s="6">
        <f t="shared" si="2"/>
        <v>46169</v>
      </c>
      <c r="G87" s="5">
        <v>6160</v>
      </c>
      <c r="H87" s="5">
        <v>6160</v>
      </c>
      <c r="I87" s="4" t="s">
        <v>17</v>
      </c>
      <c r="J87" s="4" t="s">
        <v>141</v>
      </c>
      <c r="K87" s="4" t="s">
        <v>19</v>
      </c>
      <c r="L87" s="4" t="s">
        <v>20</v>
      </c>
      <c r="M87" s="4" t="s">
        <v>150</v>
      </c>
      <c r="N87" t="str">
        <f t="shared" ca="1" si="3"/>
        <v>Current</v>
      </c>
    </row>
    <row r="88" spans="1:16" ht="15.6" x14ac:dyDescent="0.35">
      <c r="A88" s="1" t="s">
        <v>143</v>
      </c>
      <c r="B88" s="4" t="s">
        <v>139</v>
      </c>
      <c r="C88" s="4" t="s">
        <v>548</v>
      </c>
      <c r="D88" s="4" t="s">
        <v>31</v>
      </c>
      <c r="E88" s="4" t="s">
        <v>549</v>
      </c>
      <c r="F88" s="6">
        <f t="shared" si="2"/>
        <v>46185</v>
      </c>
      <c r="G88" s="5">
        <v>3138.41</v>
      </c>
      <c r="H88" s="5">
        <v>3138.41</v>
      </c>
      <c r="I88" s="4" t="s">
        <v>17</v>
      </c>
      <c r="J88" s="4" t="s">
        <v>185</v>
      </c>
      <c r="K88" s="4" t="s">
        <v>20</v>
      </c>
      <c r="L88" s="4" t="s">
        <v>20</v>
      </c>
      <c r="M88" s="4" t="s">
        <v>550</v>
      </c>
      <c r="N88" t="str">
        <f t="shared" ca="1" si="3"/>
        <v>Not Due</v>
      </c>
    </row>
    <row r="89" spans="1:16" ht="15.6" x14ac:dyDescent="0.35">
      <c r="A89" s="1" t="s">
        <v>143</v>
      </c>
      <c r="B89" s="4" t="s">
        <v>139</v>
      </c>
      <c r="C89" s="4" t="s">
        <v>551</v>
      </c>
      <c r="D89" s="4" t="s">
        <v>68</v>
      </c>
      <c r="E89" s="4" t="s">
        <v>529</v>
      </c>
      <c r="F89" s="6">
        <f t="shared" si="2"/>
        <v>46183</v>
      </c>
      <c r="G89" s="5">
        <v>7533.42</v>
      </c>
      <c r="H89" s="5">
        <v>7533.42</v>
      </c>
      <c r="I89" s="4" t="s">
        <v>17</v>
      </c>
      <c r="J89" s="4" t="s">
        <v>185</v>
      </c>
      <c r="K89" s="4" t="s">
        <v>20</v>
      </c>
      <c r="L89" s="4" t="s">
        <v>20</v>
      </c>
      <c r="M89" s="4" t="s">
        <v>552</v>
      </c>
      <c r="N89" t="str">
        <f t="shared" ca="1" si="3"/>
        <v>Not Due</v>
      </c>
    </row>
    <row r="90" spans="1:16" ht="15.6" x14ac:dyDescent="0.35">
      <c r="A90" s="1" t="s">
        <v>143</v>
      </c>
      <c r="B90" s="4" t="s">
        <v>139</v>
      </c>
      <c r="C90" s="4" t="s">
        <v>553</v>
      </c>
      <c r="D90" s="4" t="s">
        <v>29</v>
      </c>
      <c r="E90" s="4" t="s">
        <v>554</v>
      </c>
      <c r="F90" s="6">
        <f t="shared" si="2"/>
        <v>46182</v>
      </c>
      <c r="G90" s="5">
        <v>4979.0200000000004</v>
      </c>
      <c r="H90" s="5">
        <v>4979.0200000000004</v>
      </c>
      <c r="I90" s="4" t="s">
        <v>17</v>
      </c>
      <c r="J90" s="4" t="s">
        <v>141</v>
      </c>
      <c r="K90" s="4" t="s">
        <v>20</v>
      </c>
      <c r="L90" s="4" t="s">
        <v>20</v>
      </c>
      <c r="M90" s="4" t="s">
        <v>555</v>
      </c>
      <c r="N90" t="str">
        <f t="shared" ca="1" si="3"/>
        <v>Not Due</v>
      </c>
    </row>
    <row r="91" spans="1:16" ht="15.6" x14ac:dyDescent="0.35">
      <c r="A91" s="1" t="s">
        <v>143</v>
      </c>
      <c r="B91" s="4" t="s">
        <v>139</v>
      </c>
      <c r="C91" s="4" t="s">
        <v>151</v>
      </c>
      <c r="D91" s="4" t="s">
        <v>149</v>
      </c>
      <c r="E91" s="4" t="s">
        <v>40</v>
      </c>
      <c r="F91" s="6">
        <f t="shared" si="2"/>
        <v>46169</v>
      </c>
      <c r="G91" s="5">
        <v>7819</v>
      </c>
      <c r="H91" s="5">
        <v>7819</v>
      </c>
      <c r="I91" s="4" t="s">
        <v>17</v>
      </c>
      <c r="J91" s="4" t="s">
        <v>141</v>
      </c>
      <c r="K91" s="4" t="s">
        <v>19</v>
      </c>
      <c r="L91" s="4" t="s">
        <v>20</v>
      </c>
      <c r="M91" s="4" t="s">
        <v>152</v>
      </c>
      <c r="N91" t="str">
        <f t="shared" ca="1" si="3"/>
        <v>Current</v>
      </c>
      <c r="O91" s="7"/>
      <c r="P91" s="7"/>
    </row>
    <row r="92" spans="1:16" ht="15.6" x14ac:dyDescent="0.35">
      <c r="A92" s="1" t="s">
        <v>143</v>
      </c>
      <c r="B92" s="4" t="s">
        <v>139</v>
      </c>
      <c r="C92" s="4" t="s">
        <v>153</v>
      </c>
      <c r="D92" s="4" t="s">
        <v>154</v>
      </c>
      <c r="E92" s="4" t="s">
        <v>155</v>
      </c>
      <c r="F92" s="6">
        <f t="shared" si="2"/>
        <v>46170</v>
      </c>
      <c r="G92" s="5">
        <v>7251</v>
      </c>
      <c r="H92" s="5">
        <v>7251</v>
      </c>
      <c r="I92" s="4" t="s">
        <v>17</v>
      </c>
      <c r="J92" s="4" t="s">
        <v>141</v>
      </c>
      <c r="K92" s="4" t="s">
        <v>19</v>
      </c>
      <c r="L92" s="4" t="s">
        <v>20</v>
      </c>
      <c r="M92" s="4" t="s">
        <v>156</v>
      </c>
      <c r="N92" t="str">
        <f t="shared" ca="1" si="3"/>
        <v>Current</v>
      </c>
    </row>
    <row r="93" spans="1:16" ht="51.6" x14ac:dyDescent="0.35">
      <c r="A93" s="1" t="s">
        <v>157</v>
      </c>
      <c r="B93" s="4" t="s">
        <v>139</v>
      </c>
      <c r="C93" s="4" t="s">
        <v>158</v>
      </c>
      <c r="D93" s="4" t="s">
        <v>29</v>
      </c>
      <c r="E93" s="4" t="s">
        <v>136</v>
      </c>
      <c r="F93" s="6">
        <f t="shared" si="2"/>
        <v>46172</v>
      </c>
      <c r="G93" s="5">
        <v>1128.25</v>
      </c>
      <c r="H93" s="5">
        <v>1128.25</v>
      </c>
      <c r="I93" s="4" t="s">
        <v>17</v>
      </c>
      <c r="J93" s="4" t="s">
        <v>141</v>
      </c>
      <c r="K93" s="4" t="s">
        <v>64</v>
      </c>
      <c r="L93" s="4" t="s">
        <v>20</v>
      </c>
      <c r="M93" s="4" t="s">
        <v>159</v>
      </c>
      <c r="N93" t="str">
        <f t="shared" ca="1" si="3"/>
        <v>Current</v>
      </c>
    </row>
    <row r="94" spans="1:16" ht="15.6" x14ac:dyDescent="0.35">
      <c r="A94" s="1" t="s">
        <v>157</v>
      </c>
      <c r="B94" s="4" t="s">
        <v>139</v>
      </c>
      <c r="C94" s="4" t="s">
        <v>160</v>
      </c>
      <c r="D94" s="4" t="s">
        <v>62</v>
      </c>
      <c r="E94" s="4" t="s">
        <v>103</v>
      </c>
      <c r="F94" s="6">
        <f t="shared" si="2"/>
        <v>46167</v>
      </c>
      <c r="G94" s="5">
        <v>152.5</v>
      </c>
      <c r="H94" s="5">
        <v>152.5</v>
      </c>
      <c r="I94" s="4" t="s">
        <v>17</v>
      </c>
      <c r="J94" s="4" t="s">
        <v>141</v>
      </c>
      <c r="K94" s="4" t="s">
        <v>19</v>
      </c>
      <c r="L94" s="4" t="s">
        <v>20</v>
      </c>
      <c r="M94" s="4" t="s">
        <v>161</v>
      </c>
      <c r="N94" t="str">
        <f t="shared" ca="1" si="3"/>
        <v>Current</v>
      </c>
    </row>
    <row r="95" spans="1:16" ht="15.6" x14ac:dyDescent="0.35">
      <c r="A95" s="1" t="s">
        <v>157</v>
      </c>
      <c r="B95" s="4" t="s">
        <v>139</v>
      </c>
      <c r="C95" s="4" t="s">
        <v>556</v>
      </c>
      <c r="D95" s="4" t="s">
        <v>145</v>
      </c>
      <c r="E95" s="4" t="s">
        <v>237</v>
      </c>
      <c r="F95" s="6">
        <f t="shared" si="2"/>
        <v>46173</v>
      </c>
      <c r="G95" s="5">
        <v>3149</v>
      </c>
      <c r="H95" s="5">
        <v>3149</v>
      </c>
      <c r="I95" s="4" t="s">
        <v>17</v>
      </c>
      <c r="J95" s="4" t="s">
        <v>185</v>
      </c>
      <c r="K95" s="4" t="s">
        <v>20</v>
      </c>
      <c r="L95" s="4" t="s">
        <v>20</v>
      </c>
      <c r="M95" s="4" t="s">
        <v>557</v>
      </c>
      <c r="N95" t="str">
        <f t="shared" ca="1" si="3"/>
        <v>Current</v>
      </c>
    </row>
    <row r="96" spans="1:16" ht="21.6" x14ac:dyDescent="0.35">
      <c r="A96" s="1" t="s">
        <v>157</v>
      </c>
      <c r="B96" s="4" t="s">
        <v>139</v>
      </c>
      <c r="C96" s="4" t="s">
        <v>162</v>
      </c>
      <c r="D96" s="4" t="s">
        <v>86</v>
      </c>
      <c r="E96" s="4" t="s">
        <v>163</v>
      </c>
      <c r="F96" s="6">
        <f t="shared" si="2"/>
        <v>46165</v>
      </c>
      <c r="G96" s="5">
        <v>1525.51</v>
      </c>
      <c r="H96" s="5">
        <v>1525.51</v>
      </c>
      <c r="I96" s="4" t="s">
        <v>17</v>
      </c>
      <c r="J96" s="4" t="s">
        <v>141</v>
      </c>
      <c r="K96" s="4" t="s">
        <v>19</v>
      </c>
      <c r="L96" s="4" t="s">
        <v>20</v>
      </c>
      <c r="M96" s="4" t="s">
        <v>164</v>
      </c>
      <c r="N96" t="str">
        <f t="shared" ca="1" si="3"/>
        <v>Current</v>
      </c>
    </row>
    <row r="97" spans="1:15" ht="15.6" x14ac:dyDescent="0.35">
      <c r="A97" s="1" t="s">
        <v>157</v>
      </c>
      <c r="B97" s="4" t="s">
        <v>139</v>
      </c>
      <c r="C97" s="4" t="s">
        <v>558</v>
      </c>
      <c r="D97" s="4" t="s">
        <v>69</v>
      </c>
      <c r="E97" s="4" t="s">
        <v>559</v>
      </c>
      <c r="F97" s="6">
        <f t="shared" si="2"/>
        <v>46191</v>
      </c>
      <c r="G97" s="5">
        <v>1700</v>
      </c>
      <c r="H97" s="5">
        <v>1700</v>
      </c>
      <c r="I97" s="4" t="s">
        <v>17</v>
      </c>
      <c r="J97" s="4" t="s">
        <v>185</v>
      </c>
      <c r="K97" s="4" t="s">
        <v>20</v>
      </c>
      <c r="L97" s="4" t="s">
        <v>19</v>
      </c>
      <c r="M97" s="4" t="s">
        <v>560</v>
      </c>
      <c r="N97" t="str">
        <f t="shared" ca="1" si="3"/>
        <v>Not Due</v>
      </c>
    </row>
    <row r="98" spans="1:15" ht="21.6" x14ac:dyDescent="0.35">
      <c r="A98" s="1" t="s">
        <v>157</v>
      </c>
      <c r="B98" s="4" t="s">
        <v>139</v>
      </c>
      <c r="C98" s="4" t="s">
        <v>165</v>
      </c>
      <c r="D98" s="4" t="s">
        <v>29</v>
      </c>
      <c r="E98" s="4" t="s">
        <v>136</v>
      </c>
      <c r="F98" s="6">
        <f t="shared" si="2"/>
        <v>46172</v>
      </c>
      <c r="G98" s="5">
        <v>389.21</v>
      </c>
      <c r="H98" s="5">
        <v>389.21</v>
      </c>
      <c r="I98" s="4" t="s">
        <v>17</v>
      </c>
      <c r="J98" s="4" t="s">
        <v>141</v>
      </c>
      <c r="K98" s="4" t="s">
        <v>64</v>
      </c>
      <c r="L98" s="4" t="s">
        <v>20</v>
      </c>
      <c r="M98" s="4" t="s">
        <v>166</v>
      </c>
      <c r="N98" t="str">
        <f t="shared" ca="1" si="3"/>
        <v>Current</v>
      </c>
    </row>
    <row r="99" spans="1:15" ht="15.6" x14ac:dyDescent="0.35">
      <c r="A99" s="1" t="s">
        <v>348</v>
      </c>
      <c r="B99" s="4" t="s">
        <v>139</v>
      </c>
      <c r="C99" s="4" t="s">
        <v>349</v>
      </c>
      <c r="D99" s="4" t="s">
        <v>29</v>
      </c>
      <c r="E99" s="4" t="s">
        <v>136</v>
      </c>
      <c r="F99" s="6">
        <f t="shared" si="2"/>
        <v>46172</v>
      </c>
      <c r="G99" s="5">
        <v>2083.63</v>
      </c>
      <c r="H99" s="5">
        <v>2083.63</v>
      </c>
      <c r="I99" s="4" t="s">
        <v>108</v>
      </c>
      <c r="J99" s="4" t="s">
        <v>20</v>
      </c>
      <c r="K99" s="4" t="s">
        <v>20</v>
      </c>
      <c r="L99" s="4" t="s">
        <v>20</v>
      </c>
      <c r="M99" s="4" t="s">
        <v>350</v>
      </c>
      <c r="N99" t="str">
        <f t="shared" ca="1" si="3"/>
        <v>Current</v>
      </c>
    </row>
    <row r="100" spans="1:15" ht="15.6" x14ac:dyDescent="0.35">
      <c r="A100" s="1" t="s">
        <v>348</v>
      </c>
      <c r="B100" s="4" t="s">
        <v>139</v>
      </c>
      <c r="C100" s="4" t="s">
        <v>351</v>
      </c>
      <c r="D100" s="4" t="s">
        <v>19</v>
      </c>
      <c r="E100" s="4" t="s">
        <v>155</v>
      </c>
      <c r="F100" s="6">
        <f t="shared" si="2"/>
        <v>46170</v>
      </c>
      <c r="G100" s="5">
        <v>2881.75</v>
      </c>
      <c r="H100" s="5">
        <v>2881.75</v>
      </c>
      <c r="I100" s="4" t="s">
        <v>108</v>
      </c>
      <c r="J100" s="4" t="s">
        <v>20</v>
      </c>
      <c r="K100" s="4" t="s">
        <v>20</v>
      </c>
      <c r="L100" s="4" t="s">
        <v>20</v>
      </c>
      <c r="M100" s="4" t="s">
        <v>352</v>
      </c>
      <c r="N100" t="str">
        <f t="shared" ca="1" si="3"/>
        <v>Current</v>
      </c>
      <c r="O100" s="4"/>
    </row>
    <row r="101" spans="1:15" ht="31.5" x14ac:dyDescent="0.35">
      <c r="A101" s="1" t="s">
        <v>353</v>
      </c>
      <c r="B101" s="4" t="s">
        <v>139</v>
      </c>
      <c r="C101" s="4" t="s">
        <v>354</v>
      </c>
      <c r="D101" s="4" t="s">
        <v>124</v>
      </c>
      <c r="E101" s="4" t="s">
        <v>305</v>
      </c>
      <c r="F101" s="6">
        <f t="shared" si="2"/>
        <v>46158</v>
      </c>
      <c r="G101" s="5">
        <v>3278.5</v>
      </c>
      <c r="H101" s="5">
        <v>3278.5</v>
      </c>
      <c r="I101" s="4" t="s">
        <v>108</v>
      </c>
      <c r="J101" s="4" t="s">
        <v>20</v>
      </c>
      <c r="K101" s="4" t="s">
        <v>20</v>
      </c>
      <c r="L101" s="4" t="s">
        <v>20</v>
      </c>
      <c r="M101" s="4" t="s">
        <v>355</v>
      </c>
      <c r="N101" t="str">
        <f t="shared" ca="1" si="3"/>
        <v>Overdue</v>
      </c>
      <c r="O101" s="4"/>
    </row>
    <row r="102" spans="1:15" ht="15.6" x14ac:dyDescent="0.35">
      <c r="A102" s="1" t="s">
        <v>348</v>
      </c>
      <c r="B102" s="4" t="s">
        <v>139</v>
      </c>
      <c r="C102" s="4" t="s">
        <v>561</v>
      </c>
      <c r="D102" s="4" t="s">
        <v>96</v>
      </c>
      <c r="E102" s="4" t="s">
        <v>544</v>
      </c>
      <c r="F102" s="6">
        <f t="shared" si="2"/>
        <v>46177</v>
      </c>
      <c r="G102" s="5">
        <v>3397.84</v>
      </c>
      <c r="H102" s="5">
        <v>3397.84</v>
      </c>
      <c r="I102" s="4" t="s">
        <v>108</v>
      </c>
      <c r="J102" s="4" t="s">
        <v>20</v>
      </c>
      <c r="K102" s="4" t="s">
        <v>20</v>
      </c>
      <c r="L102" s="4" t="s">
        <v>20</v>
      </c>
      <c r="M102" s="4" t="s">
        <v>562</v>
      </c>
      <c r="N102" t="str">
        <f t="shared" ca="1" si="3"/>
        <v>Current</v>
      </c>
      <c r="O102" s="4"/>
    </row>
    <row r="103" spans="1:15" ht="15.6" x14ac:dyDescent="0.35">
      <c r="A103" s="1" t="s">
        <v>348</v>
      </c>
      <c r="B103" s="4" t="s">
        <v>139</v>
      </c>
      <c r="C103" s="4" t="s">
        <v>563</v>
      </c>
      <c r="D103" s="4" t="s">
        <v>36</v>
      </c>
      <c r="E103" s="4" t="s">
        <v>546</v>
      </c>
      <c r="F103" s="6">
        <f t="shared" si="2"/>
        <v>46184</v>
      </c>
      <c r="G103" s="5">
        <v>1905.23</v>
      </c>
      <c r="H103" s="5">
        <v>1905.23</v>
      </c>
      <c r="I103" s="4" t="s">
        <v>108</v>
      </c>
      <c r="J103" s="4" t="s">
        <v>20</v>
      </c>
      <c r="K103" s="4" t="s">
        <v>20</v>
      </c>
      <c r="L103" s="4" t="s">
        <v>20</v>
      </c>
      <c r="M103" s="4" t="s">
        <v>564</v>
      </c>
      <c r="N103" t="str">
        <f t="shared" ca="1" si="3"/>
        <v>Not Due</v>
      </c>
    </row>
    <row r="104" spans="1:15" ht="15.6" x14ac:dyDescent="0.35">
      <c r="A104" s="1" t="s">
        <v>348</v>
      </c>
      <c r="B104" s="4" t="s">
        <v>139</v>
      </c>
      <c r="C104" s="4" t="s">
        <v>565</v>
      </c>
      <c r="D104" s="4" t="s">
        <v>41</v>
      </c>
      <c r="E104" s="4" t="s">
        <v>566</v>
      </c>
      <c r="F104" s="6">
        <f t="shared" si="2"/>
        <v>46190</v>
      </c>
      <c r="G104" s="5">
        <v>2853.05</v>
      </c>
      <c r="H104" s="5">
        <v>2853.05</v>
      </c>
      <c r="I104" s="4" t="s">
        <v>108</v>
      </c>
      <c r="J104" s="4" t="s">
        <v>20</v>
      </c>
      <c r="K104" s="4" t="s">
        <v>20</v>
      </c>
      <c r="L104" s="4" t="s">
        <v>69</v>
      </c>
      <c r="M104" s="4" t="s">
        <v>567</v>
      </c>
      <c r="N104" t="str">
        <f t="shared" ca="1" si="3"/>
        <v>Not Due</v>
      </c>
      <c r="O104" s="7"/>
    </row>
    <row r="105" spans="1:15" ht="15.6" x14ac:dyDescent="0.35">
      <c r="A105" s="1" t="s">
        <v>356</v>
      </c>
      <c r="B105" s="4" t="s">
        <v>139</v>
      </c>
      <c r="C105" s="4" t="s">
        <v>357</v>
      </c>
      <c r="D105" s="4" t="s">
        <v>41</v>
      </c>
      <c r="E105" s="4" t="s">
        <v>55</v>
      </c>
      <c r="F105" s="6">
        <f t="shared" si="2"/>
        <v>46171</v>
      </c>
      <c r="G105" s="5">
        <v>41.43</v>
      </c>
      <c r="H105" s="5">
        <v>41.43</v>
      </c>
      <c r="I105" s="4" t="s">
        <v>108</v>
      </c>
      <c r="J105" s="4" t="s">
        <v>20</v>
      </c>
      <c r="K105" s="4" t="s">
        <v>20</v>
      </c>
      <c r="L105" s="4" t="s">
        <v>20</v>
      </c>
      <c r="M105" s="4" t="s">
        <v>358</v>
      </c>
      <c r="N105" t="str">
        <f t="shared" ca="1" si="3"/>
        <v>Current</v>
      </c>
      <c r="O105" s="4"/>
    </row>
    <row r="106" spans="1:15" ht="21.6" x14ac:dyDescent="0.35">
      <c r="A106" s="1" t="s">
        <v>356</v>
      </c>
      <c r="B106" s="4" t="s">
        <v>139</v>
      </c>
      <c r="C106" s="4" t="s">
        <v>359</v>
      </c>
      <c r="D106" s="4" t="s">
        <v>96</v>
      </c>
      <c r="E106" s="4" t="s">
        <v>305</v>
      </c>
      <c r="F106" s="6">
        <f t="shared" si="2"/>
        <v>46158</v>
      </c>
      <c r="G106" s="5">
        <v>161.4</v>
      </c>
      <c r="H106" s="5">
        <v>161.4</v>
      </c>
      <c r="I106" s="4" t="s">
        <v>108</v>
      </c>
      <c r="J106" s="4" t="s">
        <v>20</v>
      </c>
      <c r="K106" s="4" t="s">
        <v>20</v>
      </c>
      <c r="L106" s="4" t="s">
        <v>20</v>
      </c>
      <c r="M106" s="4" t="s">
        <v>360</v>
      </c>
      <c r="N106" t="str">
        <f t="shared" ca="1" si="3"/>
        <v>Overdue</v>
      </c>
      <c r="O106" s="4"/>
    </row>
    <row r="107" spans="1:15" ht="15.6" x14ac:dyDescent="0.35">
      <c r="A107" s="1" t="s">
        <v>356</v>
      </c>
      <c r="B107" s="4" t="s">
        <v>139</v>
      </c>
      <c r="C107" s="4" t="s">
        <v>361</v>
      </c>
      <c r="D107" s="4" t="s">
        <v>68</v>
      </c>
      <c r="E107" s="4" t="s">
        <v>305</v>
      </c>
      <c r="F107" s="6">
        <f t="shared" si="2"/>
        <v>46158</v>
      </c>
      <c r="G107" s="5">
        <v>2574.2199999999998</v>
      </c>
      <c r="H107" s="5">
        <v>2574.2199999999998</v>
      </c>
      <c r="I107" s="4" t="s">
        <v>108</v>
      </c>
      <c r="J107" s="4" t="s">
        <v>20</v>
      </c>
      <c r="K107" s="4" t="s">
        <v>20</v>
      </c>
      <c r="L107" s="4" t="s">
        <v>20</v>
      </c>
      <c r="M107" s="4" t="s">
        <v>362</v>
      </c>
      <c r="N107" t="str">
        <f t="shared" ca="1" si="3"/>
        <v>Overdue</v>
      </c>
      <c r="O107" s="4"/>
    </row>
    <row r="108" spans="1:15" ht="21.6" x14ac:dyDescent="0.35">
      <c r="A108" s="1" t="s">
        <v>356</v>
      </c>
      <c r="B108" s="4" t="s">
        <v>139</v>
      </c>
      <c r="C108" s="4" t="s">
        <v>363</v>
      </c>
      <c r="D108" s="4" t="s">
        <v>124</v>
      </c>
      <c r="E108" s="4" t="s">
        <v>364</v>
      </c>
      <c r="F108" s="6">
        <f t="shared" si="2"/>
        <v>46159</v>
      </c>
      <c r="G108" s="5">
        <v>203.39</v>
      </c>
      <c r="H108" s="5">
        <v>203.39</v>
      </c>
      <c r="I108" s="4" t="s">
        <v>108</v>
      </c>
      <c r="J108" s="4" t="s">
        <v>20</v>
      </c>
      <c r="K108" s="4" t="s">
        <v>20</v>
      </c>
      <c r="L108" s="4" t="s">
        <v>20</v>
      </c>
      <c r="M108" s="4" t="s">
        <v>365</v>
      </c>
      <c r="N108" t="str">
        <f t="shared" ca="1" si="3"/>
        <v>Overdue</v>
      </c>
      <c r="O108" s="4"/>
    </row>
    <row r="109" spans="1:15" ht="21.6" x14ac:dyDescent="0.35">
      <c r="A109" s="1" t="s">
        <v>356</v>
      </c>
      <c r="B109" s="4" t="s">
        <v>139</v>
      </c>
      <c r="C109" s="4" t="s">
        <v>366</v>
      </c>
      <c r="D109" s="4" t="s">
        <v>49</v>
      </c>
      <c r="E109" s="4" t="s">
        <v>41</v>
      </c>
      <c r="F109" s="6">
        <f t="shared" si="2"/>
        <v>46160</v>
      </c>
      <c r="G109" s="5">
        <v>102.72</v>
      </c>
      <c r="H109" s="5">
        <v>102.72</v>
      </c>
      <c r="I109" s="4" t="s">
        <v>108</v>
      </c>
      <c r="J109" s="4" t="s">
        <v>20</v>
      </c>
      <c r="K109" s="4" t="s">
        <v>20</v>
      </c>
      <c r="L109" s="4" t="s">
        <v>20</v>
      </c>
      <c r="M109" s="4" t="s">
        <v>367</v>
      </c>
      <c r="N109" t="str">
        <f t="shared" ca="1" si="3"/>
        <v>Overdue</v>
      </c>
      <c r="O109" s="4"/>
    </row>
    <row r="110" spans="1:15" ht="21.6" x14ac:dyDescent="0.35">
      <c r="A110" s="1" t="s">
        <v>356</v>
      </c>
      <c r="B110" s="4" t="s">
        <v>139</v>
      </c>
      <c r="C110" s="4" t="s">
        <v>368</v>
      </c>
      <c r="D110" s="4" t="s">
        <v>69</v>
      </c>
      <c r="E110" s="4" t="s">
        <v>136</v>
      </c>
      <c r="F110" s="6">
        <f t="shared" si="2"/>
        <v>46172</v>
      </c>
      <c r="G110" s="5">
        <v>179.86</v>
      </c>
      <c r="H110" s="5">
        <v>179.86</v>
      </c>
      <c r="I110" s="4" t="s">
        <v>108</v>
      </c>
      <c r="J110" s="4" t="s">
        <v>20</v>
      </c>
      <c r="K110" s="4" t="s">
        <v>20</v>
      </c>
      <c r="L110" s="4" t="s">
        <v>45</v>
      </c>
      <c r="M110" s="4" t="s">
        <v>369</v>
      </c>
      <c r="N110" t="str">
        <f t="shared" ca="1" si="3"/>
        <v>Current</v>
      </c>
      <c r="O110" s="4"/>
    </row>
    <row r="111" spans="1:15" ht="15.6" x14ac:dyDescent="0.35">
      <c r="A111" s="1" t="s">
        <v>356</v>
      </c>
      <c r="B111" s="4" t="s">
        <v>139</v>
      </c>
      <c r="C111" s="4" t="s">
        <v>370</v>
      </c>
      <c r="D111" s="4" t="s">
        <v>15</v>
      </c>
      <c r="E111" s="4" t="s">
        <v>41</v>
      </c>
      <c r="F111" s="6">
        <f t="shared" si="2"/>
        <v>46160</v>
      </c>
      <c r="G111" s="5">
        <v>7116.85</v>
      </c>
      <c r="H111" s="5">
        <v>7116.85</v>
      </c>
      <c r="I111" s="4" t="s">
        <v>108</v>
      </c>
      <c r="J111" s="4" t="s">
        <v>20</v>
      </c>
      <c r="K111" s="4" t="s">
        <v>20</v>
      </c>
      <c r="L111" s="4" t="s">
        <v>20</v>
      </c>
      <c r="M111" s="4" t="s">
        <v>371</v>
      </c>
      <c r="N111" t="str">
        <f t="shared" ca="1" si="3"/>
        <v>Overdue</v>
      </c>
      <c r="O111" s="4"/>
    </row>
    <row r="112" spans="1:15" ht="21.6" x14ac:dyDescent="0.35">
      <c r="A112" s="1" t="s">
        <v>356</v>
      </c>
      <c r="B112" s="4" t="s">
        <v>139</v>
      </c>
      <c r="C112" s="4" t="s">
        <v>372</v>
      </c>
      <c r="D112" s="4" t="s">
        <v>36</v>
      </c>
      <c r="E112" s="4" t="s">
        <v>163</v>
      </c>
      <c r="F112" s="6">
        <f t="shared" si="2"/>
        <v>46165</v>
      </c>
      <c r="G112" s="5">
        <v>145.28</v>
      </c>
      <c r="H112" s="5">
        <v>145.28</v>
      </c>
      <c r="I112" s="4" t="s">
        <v>108</v>
      </c>
      <c r="J112" s="4" t="s">
        <v>20</v>
      </c>
      <c r="K112" s="4" t="s">
        <v>20</v>
      </c>
      <c r="L112" s="4" t="s">
        <v>20</v>
      </c>
      <c r="M112" s="4" t="s">
        <v>373</v>
      </c>
      <c r="N112" t="str">
        <f t="shared" ca="1" si="3"/>
        <v>Current</v>
      </c>
    </row>
    <row r="113" spans="1:15" ht="15.6" x14ac:dyDescent="0.35">
      <c r="A113" s="1" t="s">
        <v>356</v>
      </c>
      <c r="B113" s="4" t="s">
        <v>139</v>
      </c>
      <c r="C113" s="4" t="s">
        <v>374</v>
      </c>
      <c r="D113" s="4" t="s">
        <v>124</v>
      </c>
      <c r="E113" s="4" t="s">
        <v>163</v>
      </c>
      <c r="F113" s="6">
        <f t="shared" si="2"/>
        <v>46165</v>
      </c>
      <c r="G113" s="5">
        <v>2530.41</v>
      </c>
      <c r="H113" s="5">
        <v>2530.41</v>
      </c>
      <c r="I113" s="4" t="s">
        <v>108</v>
      </c>
      <c r="J113" s="4" t="s">
        <v>20</v>
      </c>
      <c r="K113" s="4" t="s">
        <v>20</v>
      </c>
      <c r="L113" s="4" t="s">
        <v>20</v>
      </c>
      <c r="M113" s="4" t="s">
        <v>375</v>
      </c>
      <c r="N113" t="str">
        <f t="shared" ca="1" si="3"/>
        <v>Current</v>
      </c>
    </row>
    <row r="114" spans="1:15" ht="21.6" x14ac:dyDescent="0.35">
      <c r="A114" s="1" t="s">
        <v>356</v>
      </c>
      <c r="B114" s="4" t="s">
        <v>139</v>
      </c>
      <c r="C114" s="4" t="s">
        <v>376</v>
      </c>
      <c r="D114" s="4" t="s">
        <v>45</v>
      </c>
      <c r="E114" s="4" t="s">
        <v>189</v>
      </c>
      <c r="F114" s="6">
        <f t="shared" si="2"/>
        <v>46166</v>
      </c>
      <c r="G114" s="5">
        <v>108.99</v>
      </c>
      <c r="H114" s="5">
        <v>108.99</v>
      </c>
      <c r="I114" s="4" t="s">
        <v>108</v>
      </c>
      <c r="J114" s="4" t="s">
        <v>20</v>
      </c>
      <c r="K114" s="4" t="s">
        <v>20</v>
      </c>
      <c r="L114" s="4" t="s">
        <v>20</v>
      </c>
      <c r="M114" s="4" t="s">
        <v>377</v>
      </c>
      <c r="N114" t="str">
        <f t="shared" ca="1" si="3"/>
        <v>Current</v>
      </c>
    </row>
    <row r="115" spans="1:15" ht="15.6" x14ac:dyDescent="0.35">
      <c r="A115" s="1" t="s">
        <v>356</v>
      </c>
      <c r="B115" s="4" t="s">
        <v>139</v>
      </c>
      <c r="C115" s="4" t="s">
        <v>378</v>
      </c>
      <c r="D115" s="4" t="s">
        <v>49</v>
      </c>
      <c r="E115" s="4" t="s">
        <v>103</v>
      </c>
      <c r="F115" s="6">
        <f t="shared" si="2"/>
        <v>46167</v>
      </c>
      <c r="G115" s="5">
        <v>10190.02</v>
      </c>
      <c r="H115" s="5">
        <v>10190.02</v>
      </c>
      <c r="I115" s="4" t="s">
        <v>108</v>
      </c>
      <c r="J115" s="4" t="s">
        <v>20</v>
      </c>
      <c r="K115" s="4" t="s">
        <v>20</v>
      </c>
      <c r="L115" s="4" t="s">
        <v>20</v>
      </c>
      <c r="M115" s="4" t="s">
        <v>379</v>
      </c>
      <c r="N115" t="str">
        <f t="shared" ca="1" si="3"/>
        <v>Current</v>
      </c>
    </row>
    <row r="116" spans="1:15" ht="21.6" x14ac:dyDescent="0.35">
      <c r="A116" s="1" t="s">
        <v>356</v>
      </c>
      <c r="B116" s="4" t="s">
        <v>139</v>
      </c>
      <c r="C116" s="4" t="s">
        <v>380</v>
      </c>
      <c r="D116" s="4" t="s">
        <v>30</v>
      </c>
      <c r="E116" s="4" t="s">
        <v>103</v>
      </c>
      <c r="F116" s="6">
        <f t="shared" si="2"/>
        <v>46167</v>
      </c>
      <c r="G116" s="5">
        <v>143.58000000000001</v>
      </c>
      <c r="H116" s="5">
        <v>143.58000000000001</v>
      </c>
      <c r="I116" s="4" t="s">
        <v>108</v>
      </c>
      <c r="J116" s="4" t="s">
        <v>20</v>
      </c>
      <c r="K116" s="4" t="s">
        <v>20</v>
      </c>
      <c r="L116" s="4" t="s">
        <v>20</v>
      </c>
      <c r="M116" s="4" t="s">
        <v>365</v>
      </c>
      <c r="N116" t="str">
        <f t="shared" ca="1" si="3"/>
        <v>Current</v>
      </c>
    </row>
    <row r="117" spans="1:15" ht="21.6" x14ac:dyDescent="0.35">
      <c r="A117" s="1" t="s">
        <v>356</v>
      </c>
      <c r="B117" s="4" t="s">
        <v>139</v>
      </c>
      <c r="C117" s="4" t="s">
        <v>381</v>
      </c>
      <c r="D117" s="4" t="s">
        <v>54</v>
      </c>
      <c r="E117" s="4" t="s">
        <v>382</v>
      </c>
      <c r="F117" s="6">
        <f t="shared" si="2"/>
        <v>46168</v>
      </c>
      <c r="G117" s="5">
        <v>14.95</v>
      </c>
      <c r="H117" s="5">
        <v>14.95</v>
      </c>
      <c r="I117" s="4" t="s">
        <v>108</v>
      </c>
      <c r="J117" s="4" t="s">
        <v>20</v>
      </c>
      <c r="K117" s="4" t="s">
        <v>20</v>
      </c>
      <c r="L117" s="4" t="s">
        <v>20</v>
      </c>
      <c r="M117" s="4" t="s">
        <v>367</v>
      </c>
      <c r="N117" t="str">
        <f t="shared" ca="1" si="3"/>
        <v>Current</v>
      </c>
    </row>
    <row r="118" spans="1:15" ht="21.6" x14ac:dyDescent="0.35">
      <c r="A118" s="1" t="s">
        <v>356</v>
      </c>
      <c r="B118" s="4" t="s">
        <v>139</v>
      </c>
      <c r="C118" s="4" t="s">
        <v>383</v>
      </c>
      <c r="D118" s="4" t="s">
        <v>54</v>
      </c>
      <c r="E118" s="4" t="s">
        <v>382</v>
      </c>
      <c r="F118" s="6">
        <f t="shared" si="2"/>
        <v>46168</v>
      </c>
      <c r="G118" s="5">
        <v>450.21</v>
      </c>
      <c r="H118" s="5">
        <v>450.21</v>
      </c>
      <c r="I118" s="4" t="s">
        <v>108</v>
      </c>
      <c r="J118" s="4" t="s">
        <v>20</v>
      </c>
      <c r="K118" s="4" t="s">
        <v>20</v>
      </c>
      <c r="L118" s="4" t="s">
        <v>20</v>
      </c>
      <c r="M118" s="4" t="s">
        <v>365</v>
      </c>
      <c r="N118" t="str">
        <f t="shared" ca="1" si="3"/>
        <v>Current</v>
      </c>
    </row>
    <row r="119" spans="1:15" ht="21.6" x14ac:dyDescent="0.35">
      <c r="A119" s="1" t="s">
        <v>167</v>
      </c>
      <c r="B119" s="4" t="s">
        <v>168</v>
      </c>
      <c r="C119" s="4" t="s">
        <v>169</v>
      </c>
      <c r="D119" s="4" t="s">
        <v>133</v>
      </c>
      <c r="E119" s="4" t="s">
        <v>133</v>
      </c>
      <c r="F119" s="6">
        <f t="shared" si="2"/>
        <v>46118</v>
      </c>
      <c r="G119" s="5">
        <v>668.5</v>
      </c>
      <c r="H119" s="5">
        <v>668.5</v>
      </c>
      <c r="I119" s="4" t="s">
        <v>17</v>
      </c>
      <c r="J119" s="4" t="s">
        <v>20</v>
      </c>
      <c r="K119" s="4" t="s">
        <v>20</v>
      </c>
      <c r="L119" s="4" t="s">
        <v>20</v>
      </c>
      <c r="M119" s="4" t="s">
        <v>170</v>
      </c>
      <c r="N119" t="str">
        <f t="shared" ca="1" si="3"/>
        <v>Overdue</v>
      </c>
      <c r="O119" s="7"/>
    </row>
    <row r="120" spans="1:15" ht="15.6" x14ac:dyDescent="0.35">
      <c r="A120" s="1" t="s">
        <v>171</v>
      </c>
      <c r="B120" s="4" t="s">
        <v>168</v>
      </c>
      <c r="C120" s="4" t="s">
        <v>172</v>
      </c>
      <c r="D120" s="4" t="s">
        <v>133</v>
      </c>
      <c r="E120" s="4" t="s">
        <v>73</v>
      </c>
      <c r="F120" s="6">
        <f t="shared" si="2"/>
        <v>46143</v>
      </c>
      <c r="G120" s="5">
        <v>7281.52</v>
      </c>
      <c r="H120" s="5">
        <v>7281.52</v>
      </c>
      <c r="I120" s="4" t="s">
        <v>17</v>
      </c>
      <c r="J120" s="4" t="s">
        <v>20</v>
      </c>
      <c r="K120" s="4" t="s">
        <v>20</v>
      </c>
      <c r="L120" s="4" t="s">
        <v>20</v>
      </c>
      <c r="M120" s="4" t="s">
        <v>173</v>
      </c>
      <c r="N120" t="str">
        <f t="shared" ca="1" si="3"/>
        <v>Overdue</v>
      </c>
    </row>
    <row r="121" spans="1:15" ht="15.6" x14ac:dyDescent="0.35">
      <c r="A121" s="1" t="s">
        <v>171</v>
      </c>
      <c r="B121" s="4" t="s">
        <v>168</v>
      </c>
      <c r="C121" s="4" t="s">
        <v>172</v>
      </c>
      <c r="D121" s="99">
        <v>46146</v>
      </c>
      <c r="E121" s="99">
        <v>46173</v>
      </c>
      <c r="F121" s="6">
        <f t="shared" ref="F121" si="4">+E121*1</f>
        <v>46173</v>
      </c>
      <c r="G121" s="5">
        <v>3826.51</v>
      </c>
      <c r="H121" s="5">
        <v>3826.51</v>
      </c>
      <c r="I121" s="4" t="s">
        <v>17</v>
      </c>
      <c r="J121" s="4" t="s">
        <v>20</v>
      </c>
      <c r="K121" s="4" t="s">
        <v>20</v>
      </c>
      <c r="L121" s="4" t="s">
        <v>20</v>
      </c>
      <c r="M121" s="4" t="s">
        <v>772</v>
      </c>
      <c r="N121" t="str">
        <f t="shared" ref="N121" ca="1" si="5">IF(F121&lt;TODAY(),"Overdue",IF(F121&lt;=TODAY()+14,"Current","Not Due"))</f>
        <v>Current</v>
      </c>
    </row>
    <row r="122" spans="1:15" ht="15.6" x14ac:dyDescent="0.35">
      <c r="A122" s="1" t="s">
        <v>174</v>
      </c>
      <c r="B122" s="4" t="s">
        <v>168</v>
      </c>
      <c r="C122" s="4" t="s">
        <v>175</v>
      </c>
      <c r="D122" s="4" t="s">
        <v>176</v>
      </c>
      <c r="E122" s="4" t="s">
        <v>177</v>
      </c>
      <c r="F122" s="6">
        <f t="shared" si="2"/>
        <v>46121</v>
      </c>
      <c r="G122" s="5">
        <v>10314.74</v>
      </c>
      <c r="H122" s="5">
        <v>10314.74</v>
      </c>
      <c r="I122" s="4" t="s">
        <v>17</v>
      </c>
      <c r="J122" s="4" t="s">
        <v>20</v>
      </c>
      <c r="K122" s="4" t="s">
        <v>20</v>
      </c>
      <c r="L122" s="4" t="s">
        <v>20</v>
      </c>
      <c r="M122" s="4" t="s">
        <v>179</v>
      </c>
      <c r="N122" t="str">
        <f t="shared" ca="1" si="3"/>
        <v>Overdue</v>
      </c>
    </row>
    <row r="123" spans="1:15" ht="21.6" x14ac:dyDescent="0.35">
      <c r="A123" s="1" t="s">
        <v>180</v>
      </c>
      <c r="B123" s="4" t="s">
        <v>181</v>
      </c>
      <c r="C123" s="4" t="s">
        <v>182</v>
      </c>
      <c r="D123" s="4" t="s">
        <v>183</v>
      </c>
      <c r="E123" s="4" t="s">
        <v>184</v>
      </c>
      <c r="F123" s="6">
        <f t="shared" si="2"/>
        <v>46130</v>
      </c>
      <c r="G123" s="5">
        <v>902.63</v>
      </c>
      <c r="H123" s="5">
        <v>902.63</v>
      </c>
      <c r="I123" s="4" t="s">
        <v>17</v>
      </c>
      <c r="J123" s="4" t="s">
        <v>185</v>
      </c>
      <c r="K123" s="4" t="s">
        <v>20</v>
      </c>
      <c r="L123" s="4" t="s">
        <v>20</v>
      </c>
      <c r="M123" s="4" t="s">
        <v>186</v>
      </c>
      <c r="N123" t="str">
        <f t="shared" ca="1" si="3"/>
        <v>Overdue</v>
      </c>
    </row>
    <row r="124" spans="1:15" ht="21.6" x14ac:dyDescent="0.35">
      <c r="A124" s="1" t="s">
        <v>180</v>
      </c>
      <c r="B124" s="4" t="s">
        <v>181</v>
      </c>
      <c r="C124" s="4" t="s">
        <v>187</v>
      </c>
      <c r="D124" s="4" t="s">
        <v>188</v>
      </c>
      <c r="E124" s="4" t="s">
        <v>189</v>
      </c>
      <c r="F124" s="6">
        <f t="shared" si="2"/>
        <v>46166</v>
      </c>
      <c r="G124" s="5">
        <v>11428.06</v>
      </c>
      <c r="H124" s="5">
        <v>11428.06</v>
      </c>
      <c r="I124" s="4" t="s">
        <v>17</v>
      </c>
      <c r="J124" s="4" t="s">
        <v>185</v>
      </c>
      <c r="K124" s="4" t="s">
        <v>20</v>
      </c>
      <c r="L124" s="4" t="s">
        <v>20</v>
      </c>
      <c r="M124" s="4" t="s">
        <v>190</v>
      </c>
      <c r="N124" t="str">
        <f t="shared" ca="1" si="3"/>
        <v>Current</v>
      </c>
    </row>
    <row r="125" spans="1:15" ht="21.6" x14ac:dyDescent="0.35">
      <c r="A125" s="1" t="s">
        <v>180</v>
      </c>
      <c r="B125" s="4" t="s">
        <v>181</v>
      </c>
      <c r="C125" s="4" t="s">
        <v>191</v>
      </c>
      <c r="D125" s="4" t="s">
        <v>183</v>
      </c>
      <c r="E125" s="4" t="s">
        <v>184</v>
      </c>
      <c r="F125" s="6">
        <f t="shared" si="2"/>
        <v>46130</v>
      </c>
      <c r="G125" s="5">
        <v>73776.600000000006</v>
      </c>
      <c r="H125" s="5">
        <v>73776.600000000006</v>
      </c>
      <c r="I125" s="4" t="s">
        <v>17</v>
      </c>
      <c r="J125" s="4" t="s">
        <v>185</v>
      </c>
      <c r="K125" s="4" t="s">
        <v>20</v>
      </c>
      <c r="L125" s="4" t="s">
        <v>20</v>
      </c>
      <c r="M125" s="4" t="s">
        <v>192</v>
      </c>
      <c r="N125" t="str">
        <f t="shared" ca="1" si="3"/>
        <v>Overdue</v>
      </c>
      <c r="O125" s="7"/>
    </row>
    <row r="126" spans="1:15" ht="21.6" x14ac:dyDescent="0.35">
      <c r="A126" s="1" t="s">
        <v>193</v>
      </c>
      <c r="B126" s="4" t="s">
        <v>181</v>
      </c>
      <c r="C126" s="4" t="s">
        <v>194</v>
      </c>
      <c r="D126" s="4" t="s">
        <v>31</v>
      </c>
      <c r="E126" s="4" t="s">
        <v>163</v>
      </c>
      <c r="F126" s="6">
        <f t="shared" si="2"/>
        <v>46165</v>
      </c>
      <c r="G126" s="5">
        <v>1922.5</v>
      </c>
      <c r="H126" s="5">
        <v>1922.5</v>
      </c>
      <c r="I126" s="4" t="s">
        <v>17</v>
      </c>
      <c r="J126" s="4" t="s">
        <v>20</v>
      </c>
      <c r="K126" s="4" t="s">
        <v>20</v>
      </c>
      <c r="L126" s="4" t="s">
        <v>20</v>
      </c>
      <c r="M126" s="4" t="s">
        <v>195</v>
      </c>
      <c r="N126" t="str">
        <f t="shared" ca="1" si="3"/>
        <v>Current</v>
      </c>
    </row>
    <row r="127" spans="1:15" ht="21.6" x14ac:dyDescent="0.35">
      <c r="A127" s="1" t="s">
        <v>193</v>
      </c>
      <c r="B127" s="4" t="s">
        <v>181</v>
      </c>
      <c r="C127" s="4" t="s">
        <v>196</v>
      </c>
      <c r="D127" s="4" t="s">
        <v>154</v>
      </c>
      <c r="E127" s="4" t="s">
        <v>136</v>
      </c>
      <c r="F127" s="6">
        <f t="shared" si="2"/>
        <v>46172</v>
      </c>
      <c r="G127" s="5">
        <v>5159</v>
      </c>
      <c r="H127" s="5">
        <v>5159</v>
      </c>
      <c r="I127" s="4" t="s">
        <v>17</v>
      </c>
      <c r="J127" s="4" t="s">
        <v>185</v>
      </c>
      <c r="K127" s="4" t="s">
        <v>20</v>
      </c>
      <c r="L127" s="4" t="s">
        <v>20</v>
      </c>
      <c r="M127" s="4" t="s">
        <v>197</v>
      </c>
      <c r="N127" t="str">
        <f t="shared" ca="1" si="3"/>
        <v>Current</v>
      </c>
    </row>
    <row r="128" spans="1:15" ht="31.5" x14ac:dyDescent="0.35">
      <c r="A128" s="1" t="s">
        <v>198</v>
      </c>
      <c r="B128" s="4" t="s">
        <v>181</v>
      </c>
      <c r="C128" s="4" t="s">
        <v>568</v>
      </c>
      <c r="D128" s="4" t="s">
        <v>246</v>
      </c>
      <c r="E128" s="4" t="s">
        <v>569</v>
      </c>
      <c r="F128" s="6">
        <f t="shared" si="2"/>
        <v>46187</v>
      </c>
      <c r="G128" s="5">
        <v>15165</v>
      </c>
      <c r="H128" s="5">
        <v>15165</v>
      </c>
      <c r="I128" s="4" t="s">
        <v>17</v>
      </c>
      <c r="J128" s="4" t="s">
        <v>185</v>
      </c>
      <c r="K128" s="4" t="s">
        <v>20</v>
      </c>
      <c r="L128" s="4" t="s">
        <v>20</v>
      </c>
      <c r="M128" s="4" t="s">
        <v>570</v>
      </c>
      <c r="N128" t="str">
        <f t="shared" ca="1" si="3"/>
        <v>Not Due</v>
      </c>
    </row>
    <row r="129" spans="1:15" ht="31.5" x14ac:dyDescent="0.35">
      <c r="A129" s="1" t="s">
        <v>198</v>
      </c>
      <c r="B129" s="4" t="s">
        <v>181</v>
      </c>
      <c r="C129" s="4" t="s">
        <v>571</v>
      </c>
      <c r="D129" s="4" t="s">
        <v>246</v>
      </c>
      <c r="E129" s="4" t="s">
        <v>569</v>
      </c>
      <c r="F129" s="6">
        <f t="shared" si="2"/>
        <v>46187</v>
      </c>
      <c r="G129" s="5">
        <v>615</v>
      </c>
      <c r="H129" s="5">
        <v>615</v>
      </c>
      <c r="I129" s="4" t="s">
        <v>17</v>
      </c>
      <c r="J129" s="4" t="s">
        <v>185</v>
      </c>
      <c r="K129" s="4" t="s">
        <v>20</v>
      </c>
      <c r="L129" s="4" t="s">
        <v>20</v>
      </c>
      <c r="M129" s="4" t="s">
        <v>572</v>
      </c>
      <c r="N129" t="str">
        <f t="shared" ca="1" si="3"/>
        <v>Not Due</v>
      </c>
    </row>
    <row r="130" spans="1:15" ht="31.5" x14ac:dyDescent="0.35">
      <c r="A130" s="1" t="s">
        <v>198</v>
      </c>
      <c r="B130" s="4" t="s">
        <v>181</v>
      </c>
      <c r="C130" s="4" t="s">
        <v>573</v>
      </c>
      <c r="D130" s="4" t="s">
        <v>246</v>
      </c>
      <c r="E130" s="4" t="s">
        <v>569</v>
      </c>
      <c r="F130" s="6">
        <f t="shared" si="2"/>
        <v>46187</v>
      </c>
      <c r="G130" s="5">
        <v>10775</v>
      </c>
      <c r="H130" s="5">
        <v>10775</v>
      </c>
      <c r="I130" s="4" t="s">
        <v>17</v>
      </c>
      <c r="J130" s="4" t="s">
        <v>185</v>
      </c>
      <c r="K130" s="4" t="s">
        <v>20</v>
      </c>
      <c r="L130" s="4" t="s">
        <v>20</v>
      </c>
      <c r="M130" s="4" t="s">
        <v>574</v>
      </c>
      <c r="N130" t="str">
        <f t="shared" ca="1" si="3"/>
        <v>Not Due</v>
      </c>
    </row>
    <row r="131" spans="1:15" ht="31.5" x14ac:dyDescent="0.35">
      <c r="A131" s="1" t="s">
        <v>198</v>
      </c>
      <c r="B131" s="4" t="s">
        <v>181</v>
      </c>
      <c r="C131" s="4" t="s">
        <v>199</v>
      </c>
      <c r="D131" s="4" t="s">
        <v>200</v>
      </c>
      <c r="E131" s="4" t="s">
        <v>201</v>
      </c>
      <c r="F131" s="6">
        <f t="shared" ref="F131:F194" si="6">+E131*1</f>
        <v>46107</v>
      </c>
      <c r="G131" s="5">
        <v>36855</v>
      </c>
      <c r="H131" s="5">
        <v>36855</v>
      </c>
      <c r="I131" s="4" t="s">
        <v>17</v>
      </c>
      <c r="J131" s="4" t="s">
        <v>185</v>
      </c>
      <c r="K131" s="4" t="s">
        <v>20</v>
      </c>
      <c r="L131" s="4" t="s">
        <v>20</v>
      </c>
      <c r="M131" s="4" t="s">
        <v>202</v>
      </c>
      <c r="N131" t="str">
        <f t="shared" ref="N131:N194" ca="1" si="7">IF(F131&lt;TODAY(),"Overdue",IF(F131&lt;=TODAY()+14,"Current","Not Due"))</f>
        <v>Overdue</v>
      </c>
    </row>
    <row r="132" spans="1:15" ht="31.5" x14ac:dyDescent="0.35">
      <c r="A132" s="1" t="s">
        <v>198</v>
      </c>
      <c r="B132" s="4" t="s">
        <v>181</v>
      </c>
      <c r="C132" s="4" t="s">
        <v>575</v>
      </c>
      <c r="D132" s="4" t="s">
        <v>133</v>
      </c>
      <c r="E132" s="4" t="s">
        <v>569</v>
      </c>
      <c r="F132" s="6">
        <f t="shared" si="6"/>
        <v>46187</v>
      </c>
      <c r="G132" s="5">
        <v>26815</v>
      </c>
      <c r="H132" s="5">
        <v>26815</v>
      </c>
      <c r="I132" s="4" t="s">
        <v>17</v>
      </c>
      <c r="J132" s="4" t="s">
        <v>185</v>
      </c>
      <c r="K132" s="4" t="s">
        <v>20</v>
      </c>
      <c r="L132" s="4" t="s">
        <v>20</v>
      </c>
      <c r="M132" s="4" t="s">
        <v>576</v>
      </c>
      <c r="N132" t="str">
        <f t="shared" ca="1" si="7"/>
        <v>Not Due</v>
      </c>
    </row>
    <row r="133" spans="1:15" ht="31.5" x14ac:dyDescent="0.35">
      <c r="A133" s="1" t="s">
        <v>198</v>
      </c>
      <c r="B133" s="4" t="s">
        <v>181</v>
      </c>
      <c r="C133" s="4" t="s">
        <v>577</v>
      </c>
      <c r="D133" s="4" t="s">
        <v>133</v>
      </c>
      <c r="E133" s="4" t="s">
        <v>569</v>
      </c>
      <c r="F133" s="6">
        <f t="shared" si="6"/>
        <v>46187</v>
      </c>
      <c r="G133" s="5">
        <v>36320</v>
      </c>
      <c r="H133" s="5">
        <v>36320</v>
      </c>
      <c r="I133" s="4" t="s">
        <v>17</v>
      </c>
      <c r="J133" s="4" t="s">
        <v>185</v>
      </c>
      <c r="K133" s="4" t="s">
        <v>20</v>
      </c>
      <c r="L133" s="4" t="s">
        <v>20</v>
      </c>
      <c r="M133" s="4" t="s">
        <v>578</v>
      </c>
      <c r="N133" t="str">
        <f t="shared" ca="1" si="7"/>
        <v>Not Due</v>
      </c>
    </row>
    <row r="134" spans="1:15" ht="31.5" x14ac:dyDescent="0.35">
      <c r="A134" s="1" t="s">
        <v>198</v>
      </c>
      <c r="B134" s="4" t="s">
        <v>181</v>
      </c>
      <c r="C134" s="4" t="s">
        <v>579</v>
      </c>
      <c r="D134" s="4" t="s">
        <v>133</v>
      </c>
      <c r="E134" s="4" t="s">
        <v>569</v>
      </c>
      <c r="F134" s="6">
        <f t="shared" si="6"/>
        <v>46187</v>
      </c>
      <c r="G134" s="5">
        <v>16620</v>
      </c>
      <c r="H134" s="5">
        <v>16620</v>
      </c>
      <c r="I134" s="4" t="s">
        <v>17</v>
      </c>
      <c r="J134" s="4" t="s">
        <v>185</v>
      </c>
      <c r="K134" s="4" t="s">
        <v>20</v>
      </c>
      <c r="L134" s="4" t="s">
        <v>20</v>
      </c>
      <c r="M134" s="4" t="s">
        <v>580</v>
      </c>
      <c r="N134" t="str">
        <f t="shared" ca="1" si="7"/>
        <v>Not Due</v>
      </c>
    </row>
    <row r="135" spans="1:15" ht="31.5" x14ac:dyDescent="0.35">
      <c r="A135" s="1" t="s">
        <v>198</v>
      </c>
      <c r="B135" s="4" t="s">
        <v>181</v>
      </c>
      <c r="C135" s="4" t="s">
        <v>203</v>
      </c>
      <c r="D135" s="4" t="s">
        <v>204</v>
      </c>
      <c r="E135" s="4" t="s">
        <v>205</v>
      </c>
      <c r="F135" s="6">
        <f t="shared" si="6"/>
        <v>46132</v>
      </c>
      <c r="G135" s="5">
        <v>4080</v>
      </c>
      <c r="H135" s="5">
        <v>4080</v>
      </c>
      <c r="I135" s="4" t="s">
        <v>17</v>
      </c>
      <c r="J135" s="4" t="s">
        <v>185</v>
      </c>
      <c r="K135" s="4" t="s">
        <v>20</v>
      </c>
      <c r="L135" s="4" t="s">
        <v>20</v>
      </c>
      <c r="M135" s="4" t="s">
        <v>206</v>
      </c>
      <c r="N135" t="str">
        <f t="shared" ca="1" si="7"/>
        <v>Overdue</v>
      </c>
    </row>
    <row r="136" spans="1:15" ht="31.5" x14ac:dyDescent="0.35">
      <c r="A136" s="1" t="s">
        <v>198</v>
      </c>
      <c r="B136" s="4" t="s">
        <v>181</v>
      </c>
      <c r="C136" s="4" t="s">
        <v>581</v>
      </c>
      <c r="D136" s="4" t="s">
        <v>41</v>
      </c>
      <c r="E136" s="4" t="s">
        <v>566</v>
      </c>
      <c r="F136" s="6">
        <f t="shared" si="6"/>
        <v>46190</v>
      </c>
      <c r="G136" s="5">
        <v>16355</v>
      </c>
      <c r="H136" s="5">
        <v>16355</v>
      </c>
      <c r="I136" s="4" t="s">
        <v>17</v>
      </c>
      <c r="J136" s="4" t="s">
        <v>185</v>
      </c>
      <c r="K136" s="4" t="s">
        <v>20</v>
      </c>
      <c r="L136" s="4" t="s">
        <v>20</v>
      </c>
      <c r="M136" s="4" t="s">
        <v>582</v>
      </c>
      <c r="N136" t="str">
        <f t="shared" ca="1" si="7"/>
        <v>Not Due</v>
      </c>
    </row>
    <row r="137" spans="1:15" ht="31.5" x14ac:dyDescent="0.35">
      <c r="A137" s="1" t="s">
        <v>198</v>
      </c>
      <c r="B137" s="4" t="s">
        <v>181</v>
      </c>
      <c r="C137" s="4" t="s">
        <v>583</v>
      </c>
      <c r="D137" s="4" t="s">
        <v>41</v>
      </c>
      <c r="E137" s="4" t="s">
        <v>566</v>
      </c>
      <c r="F137" s="6">
        <f t="shared" si="6"/>
        <v>46190</v>
      </c>
      <c r="G137" s="5">
        <v>95173.82</v>
      </c>
      <c r="H137" s="5">
        <v>95173.82</v>
      </c>
      <c r="I137" s="4" t="s">
        <v>17</v>
      </c>
      <c r="J137" s="4" t="s">
        <v>185</v>
      </c>
      <c r="K137" s="4" t="s">
        <v>20</v>
      </c>
      <c r="L137" s="4" t="s">
        <v>20</v>
      </c>
      <c r="M137" s="4" t="s">
        <v>584</v>
      </c>
      <c r="N137" t="str">
        <f t="shared" ca="1" si="7"/>
        <v>Not Due</v>
      </c>
    </row>
    <row r="138" spans="1:15" ht="21.6" x14ac:dyDescent="0.35">
      <c r="A138" s="1" t="s">
        <v>396</v>
      </c>
      <c r="B138" s="4" t="s">
        <v>208</v>
      </c>
      <c r="C138" s="4" t="s">
        <v>397</v>
      </c>
      <c r="D138" s="4" t="s">
        <v>398</v>
      </c>
      <c r="E138" s="4" t="s">
        <v>55</v>
      </c>
      <c r="F138" s="6">
        <f t="shared" si="6"/>
        <v>46171</v>
      </c>
      <c r="G138" s="5">
        <v>94200</v>
      </c>
      <c r="H138" s="5">
        <v>47100</v>
      </c>
      <c r="I138" s="4" t="s">
        <v>91</v>
      </c>
      <c r="J138" s="4" t="s">
        <v>18</v>
      </c>
      <c r="K138" s="99">
        <v>46096</v>
      </c>
      <c r="L138" s="4" t="s">
        <v>20</v>
      </c>
      <c r="M138" s="4" t="s">
        <v>399</v>
      </c>
      <c r="N138" t="str">
        <f t="shared" ca="1" si="7"/>
        <v>Current</v>
      </c>
      <c r="O138" s="4"/>
    </row>
    <row r="139" spans="1:15" ht="21.6" x14ac:dyDescent="0.35">
      <c r="A139" s="1" t="s">
        <v>396</v>
      </c>
      <c r="B139" s="4" t="s">
        <v>208</v>
      </c>
      <c r="C139" s="4" t="s">
        <v>400</v>
      </c>
      <c r="D139" s="4" t="s">
        <v>401</v>
      </c>
      <c r="E139" s="4" t="s">
        <v>15</v>
      </c>
      <c r="F139" s="6">
        <f t="shared" si="6"/>
        <v>46139</v>
      </c>
      <c r="G139" s="5">
        <v>402</v>
      </c>
      <c r="H139" s="5">
        <v>402</v>
      </c>
      <c r="I139" s="4" t="s">
        <v>91</v>
      </c>
      <c r="J139" s="4" t="s">
        <v>185</v>
      </c>
      <c r="K139" s="4" t="s">
        <v>20</v>
      </c>
      <c r="L139" s="4" t="s">
        <v>402</v>
      </c>
      <c r="M139" s="4" t="s">
        <v>403</v>
      </c>
      <c r="N139" t="str">
        <f t="shared" ca="1" si="7"/>
        <v>Overdue</v>
      </c>
      <c r="O139" s="4"/>
    </row>
    <row r="140" spans="1:15" ht="21.6" x14ac:dyDescent="0.35">
      <c r="A140" s="1" t="s">
        <v>396</v>
      </c>
      <c r="B140" s="4" t="s">
        <v>208</v>
      </c>
      <c r="C140" s="4" t="s">
        <v>404</v>
      </c>
      <c r="D140" s="4" t="s">
        <v>45</v>
      </c>
      <c r="E140" s="4" t="s">
        <v>45</v>
      </c>
      <c r="F140" s="6">
        <f t="shared" si="6"/>
        <v>46155</v>
      </c>
      <c r="G140" s="5">
        <v>3040</v>
      </c>
      <c r="H140" s="5">
        <v>3040</v>
      </c>
      <c r="I140" s="4" t="s">
        <v>91</v>
      </c>
      <c r="J140" s="4" t="s">
        <v>18</v>
      </c>
      <c r="K140" s="4" t="s">
        <v>16</v>
      </c>
      <c r="L140" s="4" t="s">
        <v>20</v>
      </c>
      <c r="M140" s="4" t="s">
        <v>405</v>
      </c>
      <c r="N140" t="str">
        <f t="shared" ca="1" si="7"/>
        <v>Overdue</v>
      </c>
      <c r="O140" s="4"/>
    </row>
    <row r="141" spans="1:15" ht="51.6" x14ac:dyDescent="0.35">
      <c r="A141" s="1" t="s">
        <v>406</v>
      </c>
      <c r="B141" s="4" t="s">
        <v>208</v>
      </c>
      <c r="C141" s="4" t="s">
        <v>407</v>
      </c>
      <c r="D141" s="4" t="s">
        <v>217</v>
      </c>
      <c r="E141" s="4" t="s">
        <v>35</v>
      </c>
      <c r="F141" s="6">
        <f t="shared" si="6"/>
        <v>46164</v>
      </c>
      <c r="G141" s="5">
        <v>66500</v>
      </c>
      <c r="H141" s="5">
        <v>59850</v>
      </c>
      <c r="I141" s="4" t="s">
        <v>91</v>
      </c>
      <c r="J141" s="4" t="s">
        <v>185</v>
      </c>
      <c r="K141" s="4" t="s">
        <v>20</v>
      </c>
      <c r="L141" s="4" t="s">
        <v>20</v>
      </c>
      <c r="M141" s="4" t="s">
        <v>408</v>
      </c>
      <c r="N141" t="str">
        <f t="shared" ca="1" si="7"/>
        <v>Current</v>
      </c>
      <c r="O141" s="4"/>
    </row>
    <row r="142" spans="1:15" ht="21.6" x14ac:dyDescent="0.35">
      <c r="A142" s="1" t="s">
        <v>585</v>
      </c>
      <c r="B142" s="4" t="s">
        <v>208</v>
      </c>
      <c r="C142" s="4" t="s">
        <v>586</v>
      </c>
      <c r="D142" s="4" t="s">
        <v>290</v>
      </c>
      <c r="E142" s="4" t="s">
        <v>73</v>
      </c>
      <c r="F142" s="6">
        <f t="shared" si="6"/>
        <v>46143</v>
      </c>
      <c r="G142" s="5">
        <v>10086.98</v>
      </c>
      <c r="H142" s="5">
        <v>10086.98</v>
      </c>
      <c r="I142" s="4" t="s">
        <v>91</v>
      </c>
      <c r="J142" s="4" t="s">
        <v>20</v>
      </c>
      <c r="K142" s="4" t="s">
        <v>20</v>
      </c>
      <c r="L142" s="4" t="s">
        <v>20</v>
      </c>
      <c r="M142" s="4" t="s">
        <v>587</v>
      </c>
      <c r="N142" t="str">
        <f t="shared" ca="1" si="7"/>
        <v>Overdue</v>
      </c>
      <c r="O142" s="4" t="s">
        <v>588</v>
      </c>
    </row>
    <row r="143" spans="1:15" ht="21.6" x14ac:dyDescent="0.35">
      <c r="A143" s="1" t="s">
        <v>585</v>
      </c>
      <c r="B143" s="4" t="s">
        <v>208</v>
      </c>
      <c r="C143" s="4" t="s">
        <v>589</v>
      </c>
      <c r="D143" s="4" t="s">
        <v>290</v>
      </c>
      <c r="E143" s="4" t="s">
        <v>73</v>
      </c>
      <c r="F143" s="6">
        <f t="shared" si="6"/>
        <v>46143</v>
      </c>
      <c r="G143" s="5">
        <v>10086.98</v>
      </c>
      <c r="H143" s="5">
        <v>10086.98</v>
      </c>
      <c r="I143" s="4" t="s">
        <v>91</v>
      </c>
      <c r="J143" s="4" t="s">
        <v>20</v>
      </c>
      <c r="K143" s="4" t="s">
        <v>20</v>
      </c>
      <c r="L143" s="4" t="s">
        <v>20</v>
      </c>
      <c r="M143" s="4" t="s">
        <v>590</v>
      </c>
      <c r="N143" t="str">
        <f t="shared" ca="1" si="7"/>
        <v>Overdue</v>
      </c>
      <c r="O143" s="4" t="s">
        <v>588</v>
      </c>
    </row>
    <row r="144" spans="1:15" ht="21.6" x14ac:dyDescent="0.35">
      <c r="A144" s="1" t="s">
        <v>585</v>
      </c>
      <c r="B144" s="4" t="s">
        <v>208</v>
      </c>
      <c r="C144" s="4" t="s">
        <v>591</v>
      </c>
      <c r="D144" s="4" t="s">
        <v>290</v>
      </c>
      <c r="E144" s="4" t="s">
        <v>73</v>
      </c>
      <c r="F144" s="6">
        <f t="shared" si="6"/>
        <v>46143</v>
      </c>
      <c r="G144" s="5">
        <v>10086.98</v>
      </c>
      <c r="H144" s="5">
        <v>10086.98</v>
      </c>
      <c r="I144" s="4" t="s">
        <v>91</v>
      </c>
      <c r="J144" s="4" t="s">
        <v>20</v>
      </c>
      <c r="K144" s="4" t="s">
        <v>20</v>
      </c>
      <c r="L144" s="4" t="s">
        <v>20</v>
      </c>
      <c r="M144" s="4" t="s">
        <v>592</v>
      </c>
      <c r="N144" t="str">
        <f t="shared" ca="1" si="7"/>
        <v>Overdue</v>
      </c>
      <c r="O144" s="4" t="s">
        <v>588</v>
      </c>
    </row>
    <row r="145" spans="1:15" ht="21.6" x14ac:dyDescent="0.35">
      <c r="A145" s="1" t="s">
        <v>585</v>
      </c>
      <c r="B145" s="4" t="s">
        <v>208</v>
      </c>
      <c r="C145" s="4" t="s">
        <v>593</v>
      </c>
      <c r="D145" s="4" t="s">
        <v>290</v>
      </c>
      <c r="E145" s="4" t="s">
        <v>73</v>
      </c>
      <c r="F145" s="6">
        <f t="shared" si="6"/>
        <v>46143</v>
      </c>
      <c r="G145" s="5">
        <v>10086.98</v>
      </c>
      <c r="H145" s="5">
        <v>10086.98</v>
      </c>
      <c r="I145" s="4" t="s">
        <v>91</v>
      </c>
      <c r="J145" s="4" t="s">
        <v>20</v>
      </c>
      <c r="K145" s="4" t="s">
        <v>20</v>
      </c>
      <c r="L145" s="4" t="s">
        <v>20</v>
      </c>
      <c r="M145" s="4" t="s">
        <v>594</v>
      </c>
      <c r="N145" t="str">
        <f t="shared" ca="1" si="7"/>
        <v>Overdue</v>
      </c>
      <c r="O145" s="4" t="s">
        <v>588</v>
      </c>
    </row>
    <row r="146" spans="1:15" ht="21.6" x14ac:dyDescent="0.35">
      <c r="A146" s="1" t="s">
        <v>585</v>
      </c>
      <c r="B146" s="4" t="s">
        <v>208</v>
      </c>
      <c r="C146" s="4" t="s">
        <v>595</v>
      </c>
      <c r="D146" s="4" t="s">
        <v>290</v>
      </c>
      <c r="E146" s="4" t="s">
        <v>73</v>
      </c>
      <c r="F146" s="6">
        <f t="shared" si="6"/>
        <v>46143</v>
      </c>
      <c r="G146" s="5">
        <v>10086.98</v>
      </c>
      <c r="H146" s="5">
        <v>10086.98</v>
      </c>
      <c r="I146" s="4" t="s">
        <v>91</v>
      </c>
      <c r="J146" s="4" t="s">
        <v>20</v>
      </c>
      <c r="K146" s="4" t="s">
        <v>20</v>
      </c>
      <c r="L146" s="4" t="s">
        <v>20</v>
      </c>
      <c r="M146" s="4" t="s">
        <v>596</v>
      </c>
      <c r="N146" t="str">
        <f t="shared" ca="1" si="7"/>
        <v>Overdue</v>
      </c>
      <c r="O146" s="4" t="s">
        <v>588</v>
      </c>
    </row>
    <row r="147" spans="1:15" ht="21.6" x14ac:dyDescent="0.35">
      <c r="A147" s="1" t="s">
        <v>585</v>
      </c>
      <c r="B147" s="4" t="s">
        <v>208</v>
      </c>
      <c r="C147" s="4" t="s">
        <v>597</v>
      </c>
      <c r="D147" s="4" t="s">
        <v>204</v>
      </c>
      <c r="E147" s="4" t="s">
        <v>188</v>
      </c>
      <c r="F147" s="6">
        <f t="shared" si="6"/>
        <v>46112</v>
      </c>
      <c r="G147" s="5">
        <v>2506.5</v>
      </c>
      <c r="H147" s="5">
        <v>2506.5</v>
      </c>
      <c r="I147" s="4" t="s">
        <v>91</v>
      </c>
      <c r="J147" s="4" t="s">
        <v>20</v>
      </c>
      <c r="K147" s="4" t="s">
        <v>20</v>
      </c>
      <c r="L147" s="4" t="s">
        <v>20</v>
      </c>
      <c r="M147" s="4" t="s">
        <v>598</v>
      </c>
      <c r="N147" t="str">
        <f t="shared" ca="1" si="7"/>
        <v>Overdue</v>
      </c>
      <c r="O147" s="4" t="s">
        <v>588</v>
      </c>
    </row>
    <row r="148" spans="1:15" ht="21.6" x14ac:dyDescent="0.35">
      <c r="A148" s="1" t="s">
        <v>585</v>
      </c>
      <c r="B148" s="4" t="s">
        <v>208</v>
      </c>
      <c r="C148" s="4" t="s">
        <v>599</v>
      </c>
      <c r="D148" s="4" t="s">
        <v>600</v>
      </c>
      <c r="E148" s="4" t="s">
        <v>600</v>
      </c>
      <c r="F148" s="6">
        <f t="shared" si="6"/>
        <v>46210</v>
      </c>
      <c r="G148" s="5">
        <v>63000</v>
      </c>
      <c r="H148" s="5">
        <v>63000</v>
      </c>
      <c r="I148" s="4" t="s">
        <v>91</v>
      </c>
      <c r="J148" s="4" t="s">
        <v>20</v>
      </c>
      <c r="K148" s="4" t="s">
        <v>20</v>
      </c>
      <c r="L148" s="4" t="s">
        <v>20</v>
      </c>
      <c r="M148" s="4" t="s">
        <v>601</v>
      </c>
      <c r="N148" t="str">
        <f t="shared" ca="1" si="7"/>
        <v>Not Due</v>
      </c>
      <c r="O148" s="4"/>
    </row>
    <row r="149" spans="1:15" ht="21.6" x14ac:dyDescent="0.35">
      <c r="A149" s="1" t="s">
        <v>585</v>
      </c>
      <c r="B149" s="4" t="s">
        <v>208</v>
      </c>
      <c r="C149" s="4" t="s">
        <v>602</v>
      </c>
      <c r="D149" s="4" t="s">
        <v>204</v>
      </c>
      <c r="E149" s="4" t="s">
        <v>188</v>
      </c>
      <c r="F149" s="6">
        <f t="shared" si="6"/>
        <v>46112</v>
      </c>
      <c r="G149" s="5">
        <v>2506.5</v>
      </c>
      <c r="H149" s="5">
        <v>2506.5</v>
      </c>
      <c r="I149" s="4" t="s">
        <v>91</v>
      </c>
      <c r="J149" s="4" t="s">
        <v>20</v>
      </c>
      <c r="K149" s="4" t="s">
        <v>20</v>
      </c>
      <c r="L149" s="4" t="s">
        <v>20</v>
      </c>
      <c r="M149" s="4" t="s">
        <v>603</v>
      </c>
      <c r="N149" t="str">
        <f t="shared" ca="1" si="7"/>
        <v>Overdue</v>
      </c>
      <c r="O149" s="4" t="s">
        <v>588</v>
      </c>
    </row>
    <row r="150" spans="1:15" ht="21.6" x14ac:dyDescent="0.35">
      <c r="A150" s="1" t="s">
        <v>585</v>
      </c>
      <c r="B150" s="4" t="s">
        <v>208</v>
      </c>
      <c r="C150" s="4" t="s">
        <v>604</v>
      </c>
      <c r="D150" s="4" t="s">
        <v>204</v>
      </c>
      <c r="E150" s="4" t="s">
        <v>188</v>
      </c>
      <c r="F150" s="6">
        <f t="shared" si="6"/>
        <v>46112</v>
      </c>
      <c r="G150" s="5">
        <v>7020</v>
      </c>
      <c r="H150" s="5">
        <v>7020</v>
      </c>
      <c r="I150" s="4" t="s">
        <v>91</v>
      </c>
      <c r="J150" s="4" t="s">
        <v>20</v>
      </c>
      <c r="K150" s="4" t="s">
        <v>20</v>
      </c>
      <c r="L150" s="4" t="s">
        <v>20</v>
      </c>
      <c r="M150" s="4" t="s">
        <v>605</v>
      </c>
      <c r="N150" t="str">
        <f t="shared" ca="1" si="7"/>
        <v>Overdue</v>
      </c>
      <c r="O150" s="4" t="s">
        <v>588</v>
      </c>
    </row>
    <row r="151" spans="1:15" ht="21.6" x14ac:dyDescent="0.35">
      <c r="A151" s="1" t="s">
        <v>585</v>
      </c>
      <c r="B151" s="4" t="s">
        <v>208</v>
      </c>
      <c r="C151" s="4" t="s">
        <v>606</v>
      </c>
      <c r="D151" s="4" t="s">
        <v>204</v>
      </c>
      <c r="E151" s="4" t="s">
        <v>188</v>
      </c>
      <c r="F151" s="6">
        <f t="shared" si="6"/>
        <v>46112</v>
      </c>
      <c r="G151" s="5">
        <v>2506.5</v>
      </c>
      <c r="H151" s="5">
        <v>2506.5</v>
      </c>
      <c r="I151" s="4" t="s">
        <v>91</v>
      </c>
      <c r="J151" s="4" t="s">
        <v>20</v>
      </c>
      <c r="K151" s="4" t="s">
        <v>20</v>
      </c>
      <c r="L151" s="4" t="s">
        <v>20</v>
      </c>
      <c r="M151" s="4" t="s">
        <v>607</v>
      </c>
      <c r="N151" t="str">
        <f t="shared" ca="1" si="7"/>
        <v>Overdue</v>
      </c>
      <c r="O151" s="4" t="s">
        <v>588</v>
      </c>
    </row>
    <row r="152" spans="1:15" ht="21.6" x14ac:dyDescent="0.35">
      <c r="A152" s="1" t="s">
        <v>585</v>
      </c>
      <c r="B152" s="4" t="s">
        <v>208</v>
      </c>
      <c r="C152" s="4" t="s">
        <v>608</v>
      </c>
      <c r="D152" s="4" t="s">
        <v>609</v>
      </c>
      <c r="E152" s="4" t="s">
        <v>421</v>
      </c>
      <c r="F152" s="6">
        <f t="shared" si="6"/>
        <v>46053</v>
      </c>
      <c r="G152" s="5">
        <v>23987.23</v>
      </c>
      <c r="H152" s="5">
        <v>23987.23</v>
      </c>
      <c r="I152" s="4" t="s">
        <v>91</v>
      </c>
      <c r="J152" s="4" t="s">
        <v>20</v>
      </c>
      <c r="K152" s="4" t="s">
        <v>20</v>
      </c>
      <c r="L152" s="4" t="s">
        <v>20</v>
      </c>
      <c r="M152" s="4" t="s">
        <v>610</v>
      </c>
      <c r="N152" t="str">
        <f t="shared" ca="1" si="7"/>
        <v>Overdue</v>
      </c>
      <c r="O152" s="4" t="s">
        <v>588</v>
      </c>
    </row>
    <row r="153" spans="1:15" ht="21.6" x14ac:dyDescent="0.35">
      <c r="A153" s="1" t="s">
        <v>585</v>
      </c>
      <c r="B153" s="4" t="s">
        <v>208</v>
      </c>
      <c r="C153" s="4" t="s">
        <v>611</v>
      </c>
      <c r="D153" s="4" t="s">
        <v>204</v>
      </c>
      <c r="E153" s="4" t="s">
        <v>188</v>
      </c>
      <c r="F153" s="6">
        <f t="shared" si="6"/>
        <v>46112</v>
      </c>
      <c r="G153" s="5">
        <v>23987.23</v>
      </c>
      <c r="H153" s="5">
        <v>23987.23</v>
      </c>
      <c r="I153" s="4" t="s">
        <v>91</v>
      </c>
      <c r="J153" s="4" t="s">
        <v>20</v>
      </c>
      <c r="K153" s="4" t="s">
        <v>20</v>
      </c>
      <c r="L153" s="4" t="s">
        <v>20</v>
      </c>
      <c r="M153" s="4" t="s">
        <v>612</v>
      </c>
      <c r="N153" t="str">
        <f t="shared" ca="1" si="7"/>
        <v>Overdue</v>
      </c>
      <c r="O153" s="4" t="s">
        <v>588</v>
      </c>
    </row>
    <row r="154" spans="1:15" ht="21.6" x14ac:dyDescent="0.35">
      <c r="A154" s="1" t="s">
        <v>585</v>
      </c>
      <c r="B154" s="4" t="s">
        <v>208</v>
      </c>
      <c r="C154" s="4" t="s">
        <v>613</v>
      </c>
      <c r="D154" s="4" t="s">
        <v>609</v>
      </c>
      <c r="E154" s="4" t="s">
        <v>421</v>
      </c>
      <c r="F154" s="6">
        <f t="shared" si="6"/>
        <v>46053</v>
      </c>
      <c r="G154" s="5">
        <v>7020</v>
      </c>
      <c r="H154" s="5">
        <v>7020</v>
      </c>
      <c r="I154" s="4" t="s">
        <v>91</v>
      </c>
      <c r="J154" s="4" t="s">
        <v>20</v>
      </c>
      <c r="K154" s="4" t="s">
        <v>20</v>
      </c>
      <c r="L154" s="4" t="s">
        <v>20</v>
      </c>
      <c r="M154" s="4" t="s">
        <v>614</v>
      </c>
      <c r="N154" t="str">
        <f t="shared" ca="1" si="7"/>
        <v>Overdue</v>
      </c>
      <c r="O154" s="4" t="s">
        <v>588</v>
      </c>
    </row>
    <row r="155" spans="1:15" ht="21.6" x14ac:dyDescent="0.35">
      <c r="A155" s="1" t="s">
        <v>585</v>
      </c>
      <c r="B155" s="4" t="s">
        <v>208</v>
      </c>
      <c r="C155" s="4" t="s">
        <v>615</v>
      </c>
      <c r="D155" s="4" t="s">
        <v>204</v>
      </c>
      <c r="E155" s="4" t="s">
        <v>188</v>
      </c>
      <c r="F155" s="6">
        <f t="shared" si="6"/>
        <v>46112</v>
      </c>
      <c r="G155" s="5">
        <v>2520</v>
      </c>
      <c r="H155" s="5">
        <v>2520</v>
      </c>
      <c r="I155" s="4" t="s">
        <v>91</v>
      </c>
      <c r="J155" s="4" t="s">
        <v>20</v>
      </c>
      <c r="K155" s="4" t="s">
        <v>20</v>
      </c>
      <c r="L155" s="4" t="s">
        <v>20</v>
      </c>
      <c r="M155" s="4" t="s">
        <v>616</v>
      </c>
      <c r="N155" t="str">
        <f t="shared" ca="1" si="7"/>
        <v>Overdue</v>
      </c>
      <c r="O155" s="4" t="s">
        <v>588</v>
      </c>
    </row>
    <row r="156" spans="1:15" ht="21.6" x14ac:dyDescent="0.35">
      <c r="A156" s="1" t="s">
        <v>585</v>
      </c>
      <c r="B156" s="4" t="s">
        <v>208</v>
      </c>
      <c r="C156" s="4" t="s">
        <v>617</v>
      </c>
      <c r="D156" s="4" t="s">
        <v>204</v>
      </c>
      <c r="E156" s="4" t="s">
        <v>188</v>
      </c>
      <c r="F156" s="6">
        <f t="shared" si="6"/>
        <v>46112</v>
      </c>
      <c r="G156" s="5">
        <v>2506.5</v>
      </c>
      <c r="H156" s="5">
        <v>2506.5</v>
      </c>
      <c r="I156" s="4" t="s">
        <v>91</v>
      </c>
      <c r="J156" s="4" t="s">
        <v>20</v>
      </c>
      <c r="K156" s="4" t="s">
        <v>20</v>
      </c>
      <c r="L156" s="4" t="s">
        <v>20</v>
      </c>
      <c r="M156" s="4" t="s">
        <v>618</v>
      </c>
      <c r="N156" t="str">
        <f t="shared" ca="1" si="7"/>
        <v>Overdue</v>
      </c>
      <c r="O156" s="4" t="s">
        <v>588</v>
      </c>
    </row>
    <row r="157" spans="1:15" ht="21.6" x14ac:dyDescent="0.35">
      <c r="A157" s="1" t="s">
        <v>585</v>
      </c>
      <c r="B157" s="4" t="s">
        <v>208</v>
      </c>
      <c r="C157" s="4" t="s">
        <v>619</v>
      </c>
      <c r="D157" s="4" t="s">
        <v>204</v>
      </c>
      <c r="E157" s="4" t="s">
        <v>188</v>
      </c>
      <c r="F157" s="6">
        <f t="shared" si="6"/>
        <v>46112</v>
      </c>
      <c r="G157" s="5">
        <v>7020</v>
      </c>
      <c r="H157" s="5">
        <v>7020</v>
      </c>
      <c r="I157" s="4" t="s">
        <v>91</v>
      </c>
      <c r="J157" s="4" t="s">
        <v>20</v>
      </c>
      <c r="K157" s="4" t="s">
        <v>20</v>
      </c>
      <c r="L157" s="4" t="s">
        <v>20</v>
      </c>
      <c r="M157" s="4" t="s">
        <v>620</v>
      </c>
      <c r="N157" t="str">
        <f t="shared" ca="1" si="7"/>
        <v>Overdue</v>
      </c>
      <c r="O157" s="4" t="s">
        <v>588</v>
      </c>
    </row>
    <row r="158" spans="1:15" ht="21.6" x14ac:dyDescent="0.35">
      <c r="A158" s="1" t="s">
        <v>585</v>
      </c>
      <c r="B158" s="4" t="s">
        <v>208</v>
      </c>
      <c r="C158" s="4" t="s">
        <v>621</v>
      </c>
      <c r="D158" s="4" t="s">
        <v>622</v>
      </c>
      <c r="E158" s="4" t="s">
        <v>283</v>
      </c>
      <c r="F158" s="6">
        <f t="shared" si="6"/>
        <v>46085</v>
      </c>
      <c r="G158" s="5">
        <v>660</v>
      </c>
      <c r="H158" s="5">
        <v>660</v>
      </c>
      <c r="I158" s="4" t="s">
        <v>91</v>
      </c>
      <c r="J158" s="4" t="s">
        <v>20</v>
      </c>
      <c r="K158" s="4" t="s">
        <v>20</v>
      </c>
      <c r="L158" s="4" t="s">
        <v>20</v>
      </c>
      <c r="M158" s="4" t="s">
        <v>623</v>
      </c>
      <c r="N158" t="str">
        <f t="shared" ca="1" si="7"/>
        <v>Overdue</v>
      </c>
      <c r="O158" s="4" t="s">
        <v>588</v>
      </c>
    </row>
    <row r="159" spans="1:15" ht="21.6" x14ac:dyDescent="0.35">
      <c r="A159" s="1" t="s">
        <v>585</v>
      </c>
      <c r="B159" s="4" t="s">
        <v>208</v>
      </c>
      <c r="C159" s="4" t="s">
        <v>624</v>
      </c>
      <c r="D159" s="4" t="s">
        <v>625</v>
      </c>
      <c r="E159" s="4" t="s">
        <v>626</v>
      </c>
      <c r="F159" s="6">
        <f t="shared" si="6"/>
        <v>46145</v>
      </c>
      <c r="G159" s="5">
        <v>23987.23</v>
      </c>
      <c r="H159" s="5">
        <v>23987.23</v>
      </c>
      <c r="I159" s="4" t="s">
        <v>91</v>
      </c>
      <c r="J159" s="4" t="s">
        <v>20</v>
      </c>
      <c r="K159" s="4" t="s">
        <v>20</v>
      </c>
      <c r="L159" s="4" t="s">
        <v>20</v>
      </c>
      <c r="M159" s="4" t="s">
        <v>627</v>
      </c>
      <c r="N159" t="str">
        <f t="shared" ca="1" si="7"/>
        <v>Overdue</v>
      </c>
      <c r="O159" s="4" t="s">
        <v>588</v>
      </c>
    </row>
    <row r="160" spans="1:15" ht="21.6" x14ac:dyDescent="0.35">
      <c r="A160" s="1" t="s">
        <v>585</v>
      </c>
      <c r="B160" s="4" t="s">
        <v>208</v>
      </c>
      <c r="C160" s="4" t="s">
        <v>628</v>
      </c>
      <c r="D160" s="4" t="s">
        <v>625</v>
      </c>
      <c r="E160" s="4" t="s">
        <v>626</v>
      </c>
      <c r="F160" s="6">
        <f t="shared" si="6"/>
        <v>46145</v>
      </c>
      <c r="G160" s="5">
        <v>2520</v>
      </c>
      <c r="H160" s="5">
        <v>2520</v>
      </c>
      <c r="I160" s="4" t="s">
        <v>91</v>
      </c>
      <c r="J160" s="4" t="s">
        <v>20</v>
      </c>
      <c r="K160" s="4" t="s">
        <v>20</v>
      </c>
      <c r="L160" s="4" t="s">
        <v>20</v>
      </c>
      <c r="M160" s="4" t="s">
        <v>629</v>
      </c>
      <c r="N160" t="str">
        <f t="shared" ca="1" si="7"/>
        <v>Overdue</v>
      </c>
      <c r="O160" s="4" t="s">
        <v>588</v>
      </c>
    </row>
    <row r="161" spans="1:15" ht="21.6" x14ac:dyDescent="0.35">
      <c r="A161" s="1" t="s">
        <v>585</v>
      </c>
      <c r="B161" s="4" t="s">
        <v>208</v>
      </c>
      <c r="C161" s="4" t="s">
        <v>630</v>
      </c>
      <c r="D161" s="4" t="s">
        <v>200</v>
      </c>
      <c r="E161" s="4" t="s">
        <v>416</v>
      </c>
      <c r="F161" s="6">
        <f t="shared" si="6"/>
        <v>46081</v>
      </c>
      <c r="G161" s="5">
        <v>16119.61</v>
      </c>
      <c r="H161" s="5">
        <v>16119.61</v>
      </c>
      <c r="I161" s="4" t="s">
        <v>91</v>
      </c>
      <c r="J161" s="4" t="s">
        <v>20</v>
      </c>
      <c r="K161" s="4" t="s">
        <v>20</v>
      </c>
      <c r="L161" s="4" t="s">
        <v>20</v>
      </c>
      <c r="M161" s="4" t="s">
        <v>631</v>
      </c>
      <c r="N161" t="str">
        <f t="shared" ca="1" si="7"/>
        <v>Overdue</v>
      </c>
      <c r="O161" s="4" t="s">
        <v>588</v>
      </c>
    </row>
    <row r="162" spans="1:15" ht="21.6" x14ac:dyDescent="0.35">
      <c r="A162" s="1" t="s">
        <v>585</v>
      </c>
      <c r="B162" s="4" t="s">
        <v>208</v>
      </c>
      <c r="C162" s="4" t="s">
        <v>632</v>
      </c>
      <c r="D162" s="4" t="s">
        <v>625</v>
      </c>
      <c r="E162" s="4" t="s">
        <v>626</v>
      </c>
      <c r="F162" s="6">
        <f t="shared" si="6"/>
        <v>46145</v>
      </c>
      <c r="G162" s="5">
        <v>2506.5</v>
      </c>
      <c r="H162" s="5">
        <v>2506.5</v>
      </c>
      <c r="I162" s="4" t="s">
        <v>91</v>
      </c>
      <c r="J162" s="4" t="s">
        <v>20</v>
      </c>
      <c r="K162" s="4" t="s">
        <v>20</v>
      </c>
      <c r="L162" s="4" t="s">
        <v>20</v>
      </c>
      <c r="M162" s="4" t="s">
        <v>633</v>
      </c>
      <c r="N162" t="str">
        <f t="shared" ca="1" si="7"/>
        <v>Overdue</v>
      </c>
      <c r="O162" s="4" t="s">
        <v>588</v>
      </c>
    </row>
    <row r="163" spans="1:15" ht="21.6" x14ac:dyDescent="0.35">
      <c r="A163" s="1" t="s">
        <v>585</v>
      </c>
      <c r="B163" s="4" t="s">
        <v>208</v>
      </c>
      <c r="C163" s="4" t="s">
        <v>634</v>
      </c>
      <c r="D163" s="4" t="s">
        <v>635</v>
      </c>
      <c r="E163" s="4" t="s">
        <v>212</v>
      </c>
      <c r="F163" s="6">
        <f t="shared" si="6"/>
        <v>46065</v>
      </c>
      <c r="G163" s="5">
        <v>14</v>
      </c>
      <c r="H163" s="5">
        <v>13.77</v>
      </c>
      <c r="I163" s="4" t="s">
        <v>91</v>
      </c>
      <c r="J163" s="4" t="s">
        <v>20</v>
      </c>
      <c r="K163" s="4" t="s">
        <v>20</v>
      </c>
      <c r="L163" s="4" t="s">
        <v>20</v>
      </c>
      <c r="M163" s="4" t="s">
        <v>636</v>
      </c>
      <c r="N163" t="str">
        <f t="shared" ca="1" si="7"/>
        <v>Overdue</v>
      </c>
      <c r="O163" s="4" t="s">
        <v>588</v>
      </c>
    </row>
    <row r="164" spans="1:15" ht="21.6" x14ac:dyDescent="0.35">
      <c r="A164" s="1" t="s">
        <v>585</v>
      </c>
      <c r="B164" s="4" t="s">
        <v>208</v>
      </c>
      <c r="C164" s="4" t="s">
        <v>637</v>
      </c>
      <c r="D164" s="4" t="s">
        <v>625</v>
      </c>
      <c r="E164" s="4" t="s">
        <v>626</v>
      </c>
      <c r="F164" s="6">
        <f t="shared" si="6"/>
        <v>46145</v>
      </c>
      <c r="G164" s="5">
        <v>7020</v>
      </c>
      <c r="H164" s="5">
        <v>7020</v>
      </c>
      <c r="I164" s="4" t="s">
        <v>91</v>
      </c>
      <c r="J164" s="4" t="s">
        <v>20</v>
      </c>
      <c r="K164" s="4" t="s">
        <v>20</v>
      </c>
      <c r="L164" s="4" t="s">
        <v>20</v>
      </c>
      <c r="M164" s="4" t="s">
        <v>638</v>
      </c>
      <c r="N164" t="str">
        <f t="shared" ca="1" si="7"/>
        <v>Overdue</v>
      </c>
      <c r="O164" s="4" t="s">
        <v>588</v>
      </c>
    </row>
    <row r="165" spans="1:15" ht="21.6" x14ac:dyDescent="0.35">
      <c r="A165" s="1" t="s">
        <v>585</v>
      </c>
      <c r="B165" s="4" t="s">
        <v>208</v>
      </c>
      <c r="C165" s="4" t="s">
        <v>639</v>
      </c>
      <c r="D165" s="4" t="s">
        <v>625</v>
      </c>
      <c r="E165" s="4" t="s">
        <v>626</v>
      </c>
      <c r="F165" s="6">
        <f t="shared" si="6"/>
        <v>46145</v>
      </c>
      <c r="G165" s="5">
        <v>2610</v>
      </c>
      <c r="H165" s="5">
        <v>2610</v>
      </c>
      <c r="I165" s="4" t="s">
        <v>91</v>
      </c>
      <c r="J165" s="4" t="s">
        <v>20</v>
      </c>
      <c r="K165" s="4" t="s">
        <v>20</v>
      </c>
      <c r="L165" s="4" t="s">
        <v>20</v>
      </c>
      <c r="M165" s="4" t="s">
        <v>640</v>
      </c>
      <c r="N165" t="str">
        <f t="shared" ca="1" si="7"/>
        <v>Overdue</v>
      </c>
      <c r="O165" s="4" t="s">
        <v>588</v>
      </c>
    </row>
    <row r="166" spans="1:15" ht="21.6" x14ac:dyDescent="0.35">
      <c r="A166" s="1" t="s">
        <v>585</v>
      </c>
      <c r="B166" s="4" t="s">
        <v>208</v>
      </c>
      <c r="C166" s="4" t="s">
        <v>641</v>
      </c>
      <c r="D166" s="4" t="s">
        <v>609</v>
      </c>
      <c r="E166" s="4" t="s">
        <v>421</v>
      </c>
      <c r="F166" s="6">
        <f t="shared" si="6"/>
        <v>46053</v>
      </c>
      <c r="G166" s="5">
        <v>7020</v>
      </c>
      <c r="H166" s="5">
        <v>7020</v>
      </c>
      <c r="I166" s="4" t="s">
        <v>91</v>
      </c>
      <c r="J166" s="4" t="s">
        <v>20</v>
      </c>
      <c r="K166" s="4" t="s">
        <v>20</v>
      </c>
      <c r="L166" s="4" t="s">
        <v>20</v>
      </c>
      <c r="M166" s="4" t="s">
        <v>642</v>
      </c>
      <c r="N166" t="str">
        <f t="shared" ca="1" si="7"/>
        <v>Overdue</v>
      </c>
      <c r="O166" s="4" t="s">
        <v>588</v>
      </c>
    </row>
    <row r="167" spans="1:15" ht="21.6" x14ac:dyDescent="0.35">
      <c r="A167" s="1" t="s">
        <v>585</v>
      </c>
      <c r="B167" s="4" t="s">
        <v>208</v>
      </c>
      <c r="C167" s="4" t="s">
        <v>643</v>
      </c>
      <c r="D167" s="4" t="s">
        <v>290</v>
      </c>
      <c r="E167" s="4" t="s">
        <v>73</v>
      </c>
      <c r="F167" s="6">
        <f t="shared" si="6"/>
        <v>46143</v>
      </c>
      <c r="G167" s="5">
        <v>2506.5</v>
      </c>
      <c r="H167" s="5">
        <v>2506.5</v>
      </c>
      <c r="I167" s="4" t="s">
        <v>91</v>
      </c>
      <c r="J167" s="4" t="s">
        <v>20</v>
      </c>
      <c r="K167" s="4" t="s">
        <v>20</v>
      </c>
      <c r="L167" s="4" t="s">
        <v>20</v>
      </c>
      <c r="M167" s="4" t="s">
        <v>644</v>
      </c>
      <c r="N167" t="str">
        <f t="shared" ca="1" si="7"/>
        <v>Overdue</v>
      </c>
      <c r="O167" s="4" t="s">
        <v>588</v>
      </c>
    </row>
    <row r="168" spans="1:15" ht="21.6" x14ac:dyDescent="0.35">
      <c r="A168" s="1" t="s">
        <v>585</v>
      </c>
      <c r="B168" s="4" t="s">
        <v>208</v>
      </c>
      <c r="C168" s="4" t="s">
        <v>645</v>
      </c>
      <c r="D168" s="4" t="s">
        <v>290</v>
      </c>
      <c r="E168" s="4" t="s">
        <v>73</v>
      </c>
      <c r="F168" s="6">
        <f t="shared" si="6"/>
        <v>46143</v>
      </c>
      <c r="G168" s="5">
        <v>16119.61</v>
      </c>
      <c r="H168" s="5">
        <v>16119.61</v>
      </c>
      <c r="I168" s="4" t="s">
        <v>91</v>
      </c>
      <c r="J168" s="4" t="s">
        <v>20</v>
      </c>
      <c r="K168" s="4" t="s">
        <v>20</v>
      </c>
      <c r="L168" s="4" t="s">
        <v>20</v>
      </c>
      <c r="M168" s="4" t="s">
        <v>646</v>
      </c>
      <c r="N168" t="str">
        <f t="shared" ca="1" si="7"/>
        <v>Overdue</v>
      </c>
      <c r="O168" s="4" t="s">
        <v>588</v>
      </c>
    </row>
    <row r="169" spans="1:15" ht="21.6" x14ac:dyDescent="0.35">
      <c r="A169" s="1" t="s">
        <v>585</v>
      </c>
      <c r="B169" s="4" t="s">
        <v>208</v>
      </c>
      <c r="C169" s="4" t="s">
        <v>647</v>
      </c>
      <c r="D169" s="4" t="s">
        <v>290</v>
      </c>
      <c r="E169" s="4" t="s">
        <v>73</v>
      </c>
      <c r="F169" s="6">
        <f t="shared" si="6"/>
        <v>46143</v>
      </c>
      <c r="G169" s="5">
        <v>10086.98</v>
      </c>
      <c r="H169" s="5">
        <v>10086.98</v>
      </c>
      <c r="I169" s="4" t="s">
        <v>91</v>
      </c>
      <c r="J169" s="4" t="s">
        <v>20</v>
      </c>
      <c r="K169" s="4" t="s">
        <v>20</v>
      </c>
      <c r="L169" s="4" t="s">
        <v>20</v>
      </c>
      <c r="M169" s="4" t="s">
        <v>648</v>
      </c>
      <c r="N169" t="str">
        <f t="shared" ca="1" si="7"/>
        <v>Overdue</v>
      </c>
      <c r="O169" s="4" t="s">
        <v>588</v>
      </c>
    </row>
    <row r="170" spans="1:15" ht="21.6" x14ac:dyDescent="0.35">
      <c r="A170" s="1" t="s">
        <v>585</v>
      </c>
      <c r="B170" s="4" t="s">
        <v>208</v>
      </c>
      <c r="C170" s="4" t="s">
        <v>649</v>
      </c>
      <c r="D170" s="4" t="s">
        <v>200</v>
      </c>
      <c r="E170" s="4" t="s">
        <v>416</v>
      </c>
      <c r="F170" s="6">
        <f t="shared" si="6"/>
        <v>46081</v>
      </c>
      <c r="G170" s="5">
        <v>23987.23</v>
      </c>
      <c r="H170" s="5">
        <v>23987.23</v>
      </c>
      <c r="I170" s="4" t="s">
        <v>91</v>
      </c>
      <c r="J170" s="4" t="s">
        <v>20</v>
      </c>
      <c r="K170" s="4" t="s">
        <v>20</v>
      </c>
      <c r="L170" s="4" t="s">
        <v>20</v>
      </c>
      <c r="M170" s="4" t="s">
        <v>650</v>
      </c>
      <c r="N170" t="str">
        <f t="shared" ca="1" si="7"/>
        <v>Overdue</v>
      </c>
      <c r="O170" s="4" t="s">
        <v>588</v>
      </c>
    </row>
    <row r="171" spans="1:15" ht="21.6" x14ac:dyDescent="0.35">
      <c r="A171" s="1" t="s">
        <v>585</v>
      </c>
      <c r="B171" s="4" t="s">
        <v>208</v>
      </c>
      <c r="C171" s="4" t="s">
        <v>651</v>
      </c>
      <c r="D171" s="4" t="s">
        <v>200</v>
      </c>
      <c r="E171" s="4" t="s">
        <v>416</v>
      </c>
      <c r="F171" s="6">
        <f t="shared" si="6"/>
        <v>46081</v>
      </c>
      <c r="G171" s="5">
        <v>2520</v>
      </c>
      <c r="H171" s="5">
        <v>2520</v>
      </c>
      <c r="I171" s="4" t="s">
        <v>91</v>
      </c>
      <c r="J171" s="4" t="s">
        <v>20</v>
      </c>
      <c r="K171" s="4" t="s">
        <v>20</v>
      </c>
      <c r="L171" s="4" t="s">
        <v>20</v>
      </c>
      <c r="M171" s="4" t="s">
        <v>652</v>
      </c>
      <c r="N171" t="str">
        <f t="shared" ca="1" si="7"/>
        <v>Overdue</v>
      </c>
      <c r="O171" s="4" t="s">
        <v>588</v>
      </c>
    </row>
    <row r="172" spans="1:15" ht="21.6" x14ac:dyDescent="0.35">
      <c r="A172" s="1" t="s">
        <v>585</v>
      </c>
      <c r="B172" s="4" t="s">
        <v>208</v>
      </c>
      <c r="C172" s="4" t="s">
        <v>653</v>
      </c>
      <c r="D172" s="4" t="s">
        <v>200</v>
      </c>
      <c r="E172" s="4" t="s">
        <v>416</v>
      </c>
      <c r="F172" s="6">
        <f t="shared" si="6"/>
        <v>46081</v>
      </c>
      <c r="G172" s="5">
        <v>2520</v>
      </c>
      <c r="H172" s="5">
        <v>2520</v>
      </c>
      <c r="I172" s="4" t="s">
        <v>91</v>
      </c>
      <c r="J172" s="4" t="s">
        <v>20</v>
      </c>
      <c r="K172" s="4" t="s">
        <v>20</v>
      </c>
      <c r="L172" s="4" t="s">
        <v>20</v>
      </c>
      <c r="M172" s="4" t="s">
        <v>654</v>
      </c>
      <c r="N172" t="str">
        <f t="shared" ca="1" si="7"/>
        <v>Overdue</v>
      </c>
      <c r="O172" s="4" t="s">
        <v>588</v>
      </c>
    </row>
    <row r="173" spans="1:15" ht="21.6" x14ac:dyDescent="0.35">
      <c r="A173" s="1" t="s">
        <v>585</v>
      </c>
      <c r="B173" s="4" t="s">
        <v>208</v>
      </c>
      <c r="C173" s="4" t="s">
        <v>655</v>
      </c>
      <c r="D173" s="4" t="s">
        <v>200</v>
      </c>
      <c r="E173" s="4" t="s">
        <v>416</v>
      </c>
      <c r="F173" s="6">
        <f t="shared" si="6"/>
        <v>46081</v>
      </c>
      <c r="G173" s="5">
        <v>16119.61</v>
      </c>
      <c r="H173" s="5">
        <v>16119.61</v>
      </c>
      <c r="I173" s="4" t="s">
        <v>91</v>
      </c>
      <c r="J173" s="4" t="s">
        <v>20</v>
      </c>
      <c r="K173" s="4" t="s">
        <v>20</v>
      </c>
      <c r="L173" s="4" t="s">
        <v>20</v>
      </c>
      <c r="M173" s="4" t="s">
        <v>656</v>
      </c>
      <c r="N173" t="str">
        <f t="shared" ca="1" si="7"/>
        <v>Overdue</v>
      </c>
      <c r="O173" s="4" t="s">
        <v>588</v>
      </c>
    </row>
    <row r="174" spans="1:15" ht="21.6" x14ac:dyDescent="0.35">
      <c r="A174" s="1" t="s">
        <v>585</v>
      </c>
      <c r="B174" s="4" t="s">
        <v>208</v>
      </c>
      <c r="C174" s="4" t="s">
        <v>657</v>
      </c>
      <c r="D174" s="4" t="s">
        <v>200</v>
      </c>
      <c r="E174" s="4" t="s">
        <v>416</v>
      </c>
      <c r="F174" s="6">
        <f t="shared" si="6"/>
        <v>46081</v>
      </c>
      <c r="G174" s="5">
        <v>16119.61</v>
      </c>
      <c r="H174" s="5">
        <v>16119.61</v>
      </c>
      <c r="I174" s="4" t="s">
        <v>91</v>
      </c>
      <c r="J174" s="4" t="s">
        <v>20</v>
      </c>
      <c r="K174" s="4" t="s">
        <v>20</v>
      </c>
      <c r="L174" s="4" t="s">
        <v>20</v>
      </c>
      <c r="M174" s="4" t="s">
        <v>658</v>
      </c>
      <c r="N174" t="str">
        <f t="shared" ca="1" si="7"/>
        <v>Overdue</v>
      </c>
      <c r="O174" s="4" t="s">
        <v>588</v>
      </c>
    </row>
    <row r="175" spans="1:15" ht="21.6" x14ac:dyDescent="0.35">
      <c r="A175" s="1" t="s">
        <v>585</v>
      </c>
      <c r="B175" s="4" t="s">
        <v>208</v>
      </c>
      <c r="C175" s="4" t="s">
        <v>659</v>
      </c>
      <c r="D175" s="4" t="s">
        <v>204</v>
      </c>
      <c r="E175" s="4" t="s">
        <v>188</v>
      </c>
      <c r="F175" s="6">
        <f t="shared" si="6"/>
        <v>46112</v>
      </c>
      <c r="G175" s="5">
        <v>2610</v>
      </c>
      <c r="H175" s="5">
        <v>2610</v>
      </c>
      <c r="I175" s="4" t="s">
        <v>91</v>
      </c>
      <c r="J175" s="4" t="s">
        <v>20</v>
      </c>
      <c r="K175" s="4" t="s">
        <v>20</v>
      </c>
      <c r="L175" s="4" t="s">
        <v>20</v>
      </c>
      <c r="M175" s="4" t="s">
        <v>660</v>
      </c>
      <c r="N175" t="str">
        <f t="shared" ca="1" si="7"/>
        <v>Overdue</v>
      </c>
      <c r="O175" s="4" t="s">
        <v>588</v>
      </c>
    </row>
    <row r="176" spans="1:15" ht="21.6" x14ac:dyDescent="0.35">
      <c r="A176" s="1" t="s">
        <v>585</v>
      </c>
      <c r="B176" s="4" t="s">
        <v>208</v>
      </c>
      <c r="C176" s="4" t="s">
        <v>661</v>
      </c>
      <c r="D176" s="4" t="s">
        <v>200</v>
      </c>
      <c r="E176" s="4" t="s">
        <v>416</v>
      </c>
      <c r="F176" s="6">
        <f t="shared" si="6"/>
        <v>46081</v>
      </c>
      <c r="G176" s="5">
        <v>7020</v>
      </c>
      <c r="H176" s="5">
        <v>7020</v>
      </c>
      <c r="I176" s="4" t="s">
        <v>91</v>
      </c>
      <c r="J176" s="4" t="s">
        <v>20</v>
      </c>
      <c r="K176" s="4" t="s">
        <v>20</v>
      </c>
      <c r="L176" s="4" t="s">
        <v>20</v>
      </c>
      <c r="M176" s="4" t="s">
        <v>662</v>
      </c>
      <c r="N176" t="str">
        <f t="shared" ca="1" si="7"/>
        <v>Overdue</v>
      </c>
      <c r="O176" s="4" t="s">
        <v>588</v>
      </c>
    </row>
    <row r="177" spans="1:15" ht="21.6" x14ac:dyDescent="0.35">
      <c r="A177" s="1" t="s">
        <v>207</v>
      </c>
      <c r="B177" s="4" t="s">
        <v>208</v>
      </c>
      <c r="C177" s="4" t="s">
        <v>209</v>
      </c>
      <c r="D177" s="4" t="s">
        <v>210</v>
      </c>
      <c r="E177" s="4" t="s">
        <v>211</v>
      </c>
      <c r="F177" s="6">
        <f t="shared" si="6"/>
        <v>46114</v>
      </c>
      <c r="G177" s="5">
        <v>25096.5</v>
      </c>
      <c r="H177" s="5">
        <v>25096.5</v>
      </c>
      <c r="I177" s="4" t="s">
        <v>17</v>
      </c>
      <c r="J177" s="4" t="s">
        <v>18</v>
      </c>
      <c r="K177" s="4" t="s">
        <v>212</v>
      </c>
      <c r="L177" s="4" t="s">
        <v>213</v>
      </c>
      <c r="M177" s="4" t="s">
        <v>214</v>
      </c>
      <c r="N177" t="str">
        <f t="shared" ca="1" si="7"/>
        <v>Overdue</v>
      </c>
      <c r="O177" s="4"/>
    </row>
    <row r="178" spans="1:15" ht="21.6" x14ac:dyDescent="0.35">
      <c r="A178" s="1" t="s">
        <v>207</v>
      </c>
      <c r="B178" s="4" t="s">
        <v>208</v>
      </c>
      <c r="C178" s="4" t="s">
        <v>215</v>
      </c>
      <c r="D178" s="4" t="s">
        <v>183</v>
      </c>
      <c r="E178" s="4" t="s">
        <v>25</v>
      </c>
      <c r="F178" s="6">
        <f t="shared" si="6"/>
        <v>46136</v>
      </c>
      <c r="G178" s="5">
        <v>250</v>
      </c>
      <c r="H178" s="5">
        <v>250</v>
      </c>
      <c r="I178" s="4" t="s">
        <v>17</v>
      </c>
      <c r="J178" s="4" t="s">
        <v>18</v>
      </c>
      <c r="K178" s="4" t="s">
        <v>216</v>
      </c>
      <c r="L178" s="4" t="s">
        <v>217</v>
      </c>
      <c r="M178" s="4" t="s">
        <v>218</v>
      </c>
      <c r="N178" t="str">
        <f t="shared" ca="1" si="7"/>
        <v>Overdue</v>
      </c>
      <c r="O178" s="4"/>
    </row>
    <row r="179" spans="1:15" ht="21.6" x14ac:dyDescent="0.35">
      <c r="A179" s="1" t="s">
        <v>409</v>
      </c>
      <c r="B179" s="4" t="s">
        <v>208</v>
      </c>
      <c r="C179" s="4" t="s">
        <v>20</v>
      </c>
      <c r="D179" s="4" t="s">
        <v>410</v>
      </c>
      <c r="E179" s="4" t="s">
        <v>410</v>
      </c>
      <c r="F179" s="6">
        <f t="shared" si="6"/>
        <v>46020</v>
      </c>
      <c r="G179" s="5">
        <v>173500</v>
      </c>
      <c r="H179" s="5">
        <v>173500</v>
      </c>
      <c r="I179" s="4" t="s">
        <v>91</v>
      </c>
      <c r="J179" s="4" t="s">
        <v>20</v>
      </c>
      <c r="K179" s="4" t="s">
        <v>20</v>
      </c>
      <c r="L179" s="4" t="s">
        <v>20</v>
      </c>
      <c r="M179" s="4" t="s">
        <v>411</v>
      </c>
      <c r="N179" t="str">
        <f t="shared" ca="1" si="7"/>
        <v>Overdue</v>
      </c>
      <c r="O179" s="4"/>
    </row>
    <row r="180" spans="1:15" ht="21.6" x14ac:dyDescent="0.35">
      <c r="A180" s="1" t="s">
        <v>663</v>
      </c>
      <c r="B180" s="4" t="s">
        <v>208</v>
      </c>
      <c r="C180" s="4" t="s">
        <v>664</v>
      </c>
      <c r="D180" s="4" t="s">
        <v>45</v>
      </c>
      <c r="E180" s="4" t="s">
        <v>549</v>
      </c>
      <c r="F180" s="6">
        <f t="shared" si="6"/>
        <v>46185</v>
      </c>
      <c r="G180" s="5">
        <v>165</v>
      </c>
      <c r="H180" s="5">
        <v>82.5</v>
      </c>
      <c r="I180" s="4" t="s">
        <v>108</v>
      </c>
      <c r="J180" s="4" t="s">
        <v>20</v>
      </c>
      <c r="K180" s="4" t="s">
        <v>20</v>
      </c>
      <c r="L180" s="4" t="s">
        <v>20</v>
      </c>
      <c r="M180" s="4" t="s">
        <v>665</v>
      </c>
      <c r="N180" t="str">
        <f t="shared" ca="1" si="7"/>
        <v>Not Due</v>
      </c>
    </row>
    <row r="181" spans="1:15" ht="91.5" x14ac:dyDescent="0.35">
      <c r="A181" s="1" t="s">
        <v>219</v>
      </c>
      <c r="B181" s="4" t="s">
        <v>220</v>
      </c>
      <c r="C181" s="4" t="s">
        <v>221</v>
      </c>
      <c r="D181" s="4" t="s">
        <v>222</v>
      </c>
      <c r="E181" s="4" t="s">
        <v>222</v>
      </c>
      <c r="F181" s="6">
        <f t="shared" si="6"/>
        <v>46174</v>
      </c>
      <c r="G181" s="5">
        <v>20250</v>
      </c>
      <c r="H181" s="5">
        <v>20250</v>
      </c>
      <c r="I181" s="4" t="s">
        <v>17</v>
      </c>
      <c r="J181" s="4" t="s">
        <v>223</v>
      </c>
      <c r="K181" s="4" t="s">
        <v>30</v>
      </c>
      <c r="L181" s="4" t="s">
        <v>20</v>
      </c>
      <c r="M181" s="4" t="s">
        <v>224</v>
      </c>
      <c r="N181" t="str">
        <f t="shared" ca="1" si="7"/>
        <v>Current</v>
      </c>
    </row>
    <row r="182" spans="1:15" ht="21.6" x14ac:dyDescent="0.35">
      <c r="A182" s="1" t="s">
        <v>225</v>
      </c>
      <c r="B182" s="4" t="s">
        <v>220</v>
      </c>
      <c r="C182" s="4" t="s">
        <v>226</v>
      </c>
      <c r="D182" s="4" t="s">
        <v>227</v>
      </c>
      <c r="E182" s="4" t="s">
        <v>200</v>
      </c>
      <c r="F182" s="6">
        <f t="shared" si="6"/>
        <v>46054</v>
      </c>
      <c r="G182" s="5">
        <v>58704.99</v>
      </c>
      <c r="H182" s="5">
        <v>58704.99</v>
      </c>
      <c r="I182" s="4" t="s">
        <v>17</v>
      </c>
      <c r="J182" s="4" t="s">
        <v>20</v>
      </c>
      <c r="K182" s="4" t="s">
        <v>20</v>
      </c>
      <c r="L182" s="4" t="s">
        <v>20</v>
      </c>
      <c r="M182" s="4" t="s">
        <v>228</v>
      </c>
      <c r="N182" t="str">
        <f t="shared" ca="1" si="7"/>
        <v>Overdue</v>
      </c>
      <c r="O182" s="7"/>
    </row>
    <row r="183" spans="1:15" ht="31.5" x14ac:dyDescent="0.35">
      <c r="A183" s="1" t="s">
        <v>666</v>
      </c>
      <c r="B183" s="4" t="s">
        <v>230</v>
      </c>
      <c r="C183" s="4" t="s">
        <v>667</v>
      </c>
      <c r="D183" s="4" t="s">
        <v>41</v>
      </c>
      <c r="E183" s="4" t="s">
        <v>41</v>
      </c>
      <c r="F183" s="6">
        <f t="shared" si="6"/>
        <v>46160</v>
      </c>
      <c r="G183" s="5">
        <v>216.4</v>
      </c>
      <c r="H183" s="5">
        <v>216.4</v>
      </c>
      <c r="I183" s="4" t="s">
        <v>17</v>
      </c>
      <c r="J183" s="4" t="s">
        <v>185</v>
      </c>
      <c r="K183" s="4" t="s">
        <v>20</v>
      </c>
      <c r="L183" s="4" t="s">
        <v>20</v>
      </c>
      <c r="M183" s="4" t="s">
        <v>668</v>
      </c>
      <c r="N183" t="str">
        <f t="shared" ca="1" si="7"/>
        <v>Overdue</v>
      </c>
      <c r="O183" s="4"/>
    </row>
    <row r="184" spans="1:15" ht="21.6" x14ac:dyDescent="0.35">
      <c r="A184" s="1" t="s">
        <v>666</v>
      </c>
      <c r="B184" s="4" t="s">
        <v>230</v>
      </c>
      <c r="C184" s="4" t="s">
        <v>669</v>
      </c>
      <c r="D184" s="4" t="s">
        <v>41</v>
      </c>
      <c r="E184" s="4" t="s">
        <v>566</v>
      </c>
      <c r="F184" s="6">
        <f t="shared" si="6"/>
        <v>46190</v>
      </c>
      <c r="G184" s="5">
        <v>216.4</v>
      </c>
      <c r="H184" s="5">
        <v>216.4</v>
      </c>
      <c r="I184" s="4" t="s">
        <v>17</v>
      </c>
      <c r="J184" s="4" t="s">
        <v>185</v>
      </c>
      <c r="K184" s="4" t="s">
        <v>20</v>
      </c>
      <c r="L184" s="4" t="s">
        <v>20</v>
      </c>
      <c r="M184" s="4" t="s">
        <v>670</v>
      </c>
      <c r="N184" t="str">
        <f t="shared" ca="1" si="7"/>
        <v>Not Due</v>
      </c>
      <c r="O184" s="4"/>
    </row>
    <row r="185" spans="1:15" ht="41.45" x14ac:dyDescent="0.35">
      <c r="A185" s="1" t="s">
        <v>666</v>
      </c>
      <c r="B185" s="4" t="s">
        <v>230</v>
      </c>
      <c r="C185" s="4" t="s">
        <v>671</v>
      </c>
      <c r="D185" s="4" t="s">
        <v>30</v>
      </c>
      <c r="E185" s="4" t="s">
        <v>672</v>
      </c>
      <c r="F185" s="6">
        <f t="shared" si="6"/>
        <v>46186</v>
      </c>
      <c r="G185" s="5">
        <v>1890</v>
      </c>
      <c r="H185" s="5">
        <v>1890</v>
      </c>
      <c r="I185" s="4" t="s">
        <v>17</v>
      </c>
      <c r="J185" s="4" t="s">
        <v>185</v>
      </c>
      <c r="K185" s="4" t="s">
        <v>20</v>
      </c>
      <c r="L185" s="4" t="s">
        <v>20</v>
      </c>
      <c r="M185" s="4" t="s">
        <v>673</v>
      </c>
      <c r="N185" t="str">
        <f t="shared" ca="1" si="7"/>
        <v>Not Due</v>
      </c>
      <c r="O185" s="4"/>
    </row>
    <row r="186" spans="1:15" ht="15.6" x14ac:dyDescent="0.35">
      <c r="A186" s="1" t="s">
        <v>229</v>
      </c>
      <c r="B186" s="4" t="s">
        <v>230</v>
      </c>
      <c r="C186" s="4" t="s">
        <v>231</v>
      </c>
      <c r="D186" s="4" t="s">
        <v>29</v>
      </c>
      <c r="E186" s="4" t="s">
        <v>136</v>
      </c>
      <c r="F186" s="6">
        <f t="shared" si="6"/>
        <v>46172</v>
      </c>
      <c r="G186" s="5">
        <v>318</v>
      </c>
      <c r="H186" s="5">
        <v>318</v>
      </c>
      <c r="I186" s="4" t="s">
        <v>17</v>
      </c>
      <c r="J186" s="4" t="s">
        <v>18</v>
      </c>
      <c r="K186" s="4" t="s">
        <v>15</v>
      </c>
      <c r="L186" s="4" t="s">
        <v>124</v>
      </c>
      <c r="M186" s="4" t="s">
        <v>232</v>
      </c>
      <c r="N186" t="str">
        <f t="shared" ca="1" si="7"/>
        <v>Current</v>
      </c>
      <c r="O186" s="7"/>
    </row>
    <row r="187" spans="1:15" ht="15.6" x14ac:dyDescent="0.35">
      <c r="A187" s="1" t="s">
        <v>229</v>
      </c>
      <c r="B187" s="4" t="s">
        <v>230</v>
      </c>
      <c r="C187" s="4" t="s">
        <v>674</v>
      </c>
      <c r="D187" s="4" t="s">
        <v>305</v>
      </c>
      <c r="E187" s="4" t="s">
        <v>462</v>
      </c>
      <c r="F187" s="6">
        <f t="shared" si="6"/>
        <v>46188</v>
      </c>
      <c r="G187" s="5">
        <v>948.64</v>
      </c>
      <c r="H187" s="5">
        <v>948.64</v>
      </c>
      <c r="I187" s="4" t="s">
        <v>17</v>
      </c>
      <c r="J187" s="4" t="s">
        <v>185</v>
      </c>
      <c r="K187" s="4" t="s">
        <v>20</v>
      </c>
      <c r="L187" s="4" t="s">
        <v>20</v>
      </c>
      <c r="M187" s="4" t="s">
        <v>675</v>
      </c>
      <c r="N187" t="str">
        <f t="shared" ca="1" si="7"/>
        <v>Not Due</v>
      </c>
      <c r="O187" s="4"/>
    </row>
    <row r="188" spans="1:15" ht="15.6" x14ac:dyDescent="0.35">
      <c r="A188" s="1" t="s">
        <v>229</v>
      </c>
      <c r="B188" s="4" t="s">
        <v>230</v>
      </c>
      <c r="C188" s="4" t="s">
        <v>233</v>
      </c>
      <c r="D188" s="4" t="s">
        <v>29</v>
      </c>
      <c r="E188" s="4" t="s">
        <v>136</v>
      </c>
      <c r="F188" s="6">
        <f t="shared" si="6"/>
        <v>46172</v>
      </c>
      <c r="G188" s="5">
        <v>1522.44</v>
      </c>
      <c r="H188" s="5">
        <v>1522.44</v>
      </c>
      <c r="I188" s="4" t="s">
        <v>17</v>
      </c>
      <c r="J188" s="4" t="s">
        <v>18</v>
      </c>
      <c r="K188" s="4" t="s">
        <v>15</v>
      </c>
      <c r="L188" s="4" t="s">
        <v>124</v>
      </c>
      <c r="M188" s="4" t="s">
        <v>232</v>
      </c>
      <c r="N188" t="str">
        <f t="shared" ca="1" si="7"/>
        <v>Current</v>
      </c>
      <c r="O188" s="7"/>
    </row>
    <row r="189" spans="1:15" ht="15.6" x14ac:dyDescent="0.35">
      <c r="A189" s="1" t="s">
        <v>229</v>
      </c>
      <c r="B189" s="4" t="s">
        <v>230</v>
      </c>
      <c r="C189" s="4" t="s">
        <v>234</v>
      </c>
      <c r="D189" s="4" t="s">
        <v>62</v>
      </c>
      <c r="E189" s="4" t="s">
        <v>103</v>
      </c>
      <c r="F189" s="6">
        <f t="shared" si="6"/>
        <v>46167</v>
      </c>
      <c r="G189" s="5">
        <v>1897.2</v>
      </c>
      <c r="H189" s="5">
        <v>1897.2</v>
      </c>
      <c r="I189" s="4" t="s">
        <v>17</v>
      </c>
      <c r="J189" s="4" t="s">
        <v>18</v>
      </c>
      <c r="K189" s="4" t="s">
        <v>19</v>
      </c>
      <c r="L189" s="4" t="s">
        <v>73</v>
      </c>
      <c r="M189" s="4" t="s">
        <v>235</v>
      </c>
      <c r="N189" t="str">
        <f t="shared" ca="1" si="7"/>
        <v>Current</v>
      </c>
      <c r="O189" s="7"/>
    </row>
    <row r="190" spans="1:15" ht="21.6" x14ac:dyDescent="0.35">
      <c r="A190" s="1" t="s">
        <v>229</v>
      </c>
      <c r="B190" s="4" t="s">
        <v>230</v>
      </c>
      <c r="C190" s="4" t="s">
        <v>676</v>
      </c>
      <c r="D190" s="4" t="s">
        <v>30</v>
      </c>
      <c r="E190" s="4" t="s">
        <v>672</v>
      </c>
      <c r="F190" s="6">
        <f t="shared" si="6"/>
        <v>46186</v>
      </c>
      <c r="G190" s="5">
        <v>962</v>
      </c>
      <c r="H190" s="5">
        <v>962</v>
      </c>
      <c r="I190" s="4" t="s">
        <v>17</v>
      </c>
      <c r="J190" s="4" t="s">
        <v>18</v>
      </c>
      <c r="K190" s="4" t="s">
        <v>49</v>
      </c>
      <c r="L190" s="4" t="s">
        <v>20</v>
      </c>
      <c r="M190" s="4" t="s">
        <v>677</v>
      </c>
      <c r="N190" t="str">
        <f t="shared" ca="1" si="7"/>
        <v>Not Due</v>
      </c>
      <c r="O190" s="7"/>
    </row>
    <row r="191" spans="1:15" ht="15.6" x14ac:dyDescent="0.35">
      <c r="A191" s="1" t="s">
        <v>229</v>
      </c>
      <c r="B191" s="4" t="s">
        <v>230</v>
      </c>
      <c r="C191" s="4" t="s">
        <v>236</v>
      </c>
      <c r="D191" s="4" t="s">
        <v>73</v>
      </c>
      <c r="E191" s="4" t="s">
        <v>237</v>
      </c>
      <c r="F191" s="6">
        <f t="shared" si="6"/>
        <v>46173</v>
      </c>
      <c r="G191" s="5">
        <v>158.5</v>
      </c>
      <c r="H191" s="5">
        <v>158.5</v>
      </c>
      <c r="I191" s="4" t="s">
        <v>17</v>
      </c>
      <c r="J191" s="4" t="s">
        <v>18</v>
      </c>
      <c r="K191" s="4" t="s">
        <v>15</v>
      </c>
      <c r="L191" s="4" t="s">
        <v>124</v>
      </c>
      <c r="M191" s="4" t="s">
        <v>232</v>
      </c>
      <c r="N191" t="str">
        <f t="shared" ca="1" si="7"/>
        <v>Current</v>
      </c>
      <c r="O191" s="7"/>
    </row>
    <row r="192" spans="1:15" ht="21.6" x14ac:dyDescent="0.35">
      <c r="A192" s="1" t="s">
        <v>585</v>
      </c>
      <c r="B192" s="4" t="s">
        <v>208</v>
      </c>
      <c r="C192" s="4" t="s">
        <v>678</v>
      </c>
      <c r="D192" s="4" t="s">
        <v>29</v>
      </c>
      <c r="E192" s="4" t="s">
        <v>237</v>
      </c>
      <c r="F192" s="6">
        <f t="shared" si="6"/>
        <v>46173</v>
      </c>
      <c r="G192" s="5">
        <v>10086.98</v>
      </c>
      <c r="H192" s="5">
        <v>10086.98</v>
      </c>
      <c r="I192" s="4" t="s">
        <v>91</v>
      </c>
      <c r="J192" s="4" t="s">
        <v>20</v>
      </c>
      <c r="K192" s="4" t="s">
        <v>20</v>
      </c>
      <c r="L192" s="4" t="s">
        <v>20</v>
      </c>
      <c r="M192" s="4" t="s">
        <v>679</v>
      </c>
      <c r="N192" t="str">
        <f t="shared" ca="1" si="7"/>
        <v>Current</v>
      </c>
      <c r="O192" s="4" t="s">
        <v>588</v>
      </c>
    </row>
    <row r="193" spans="1:16" ht="15.6" x14ac:dyDescent="0.35">
      <c r="A193" s="1" t="s">
        <v>585</v>
      </c>
      <c r="B193" s="4" t="s">
        <v>230</v>
      </c>
      <c r="C193" s="4" t="s">
        <v>20</v>
      </c>
      <c r="D193" s="4" t="s">
        <v>54</v>
      </c>
      <c r="E193" s="4" t="s">
        <v>569</v>
      </c>
      <c r="F193" s="6">
        <f t="shared" si="6"/>
        <v>46187</v>
      </c>
      <c r="G193" s="5">
        <v>350</v>
      </c>
      <c r="H193" s="5">
        <v>350</v>
      </c>
      <c r="I193" s="4" t="s">
        <v>91</v>
      </c>
      <c r="J193" s="4" t="s">
        <v>20</v>
      </c>
      <c r="K193" s="4" t="s">
        <v>20</v>
      </c>
      <c r="L193" s="4" t="s">
        <v>20</v>
      </c>
      <c r="M193" s="4" t="s">
        <v>680</v>
      </c>
      <c r="N193" t="str">
        <f t="shared" ca="1" si="7"/>
        <v>Not Due</v>
      </c>
      <c r="O193" s="4"/>
    </row>
    <row r="194" spans="1:16" ht="21.6" x14ac:dyDescent="0.35">
      <c r="A194" s="1" t="s">
        <v>585</v>
      </c>
      <c r="B194" s="4" t="s">
        <v>230</v>
      </c>
      <c r="C194" s="4" t="s">
        <v>681</v>
      </c>
      <c r="D194" s="4" t="s">
        <v>237</v>
      </c>
      <c r="E194" s="4" t="s">
        <v>445</v>
      </c>
      <c r="F194" s="6">
        <f t="shared" si="6"/>
        <v>46203</v>
      </c>
      <c r="G194" s="5">
        <v>10086.98</v>
      </c>
      <c r="H194" s="5">
        <v>10086.98</v>
      </c>
      <c r="I194" s="4" t="s">
        <v>91</v>
      </c>
      <c r="J194" s="4" t="s">
        <v>20</v>
      </c>
      <c r="K194" s="4" t="s">
        <v>20</v>
      </c>
      <c r="L194" s="4" t="s">
        <v>20</v>
      </c>
      <c r="M194" s="4" t="s">
        <v>682</v>
      </c>
      <c r="N194" t="str">
        <f t="shared" ca="1" si="7"/>
        <v>Not Due</v>
      </c>
      <c r="O194" s="4"/>
    </row>
    <row r="195" spans="1:16" ht="21.6" x14ac:dyDescent="0.35">
      <c r="A195" s="1" t="s">
        <v>585</v>
      </c>
      <c r="B195" s="4" t="s">
        <v>208</v>
      </c>
      <c r="C195" s="4" t="s">
        <v>683</v>
      </c>
      <c r="D195" s="4" t="s">
        <v>29</v>
      </c>
      <c r="E195" s="4" t="s">
        <v>237</v>
      </c>
      <c r="F195" s="6">
        <f t="shared" ref="F195:F222" si="8">+E195*1</f>
        <v>46173</v>
      </c>
      <c r="G195" s="5">
        <v>10086.98</v>
      </c>
      <c r="H195" s="5">
        <v>10086.98</v>
      </c>
      <c r="I195" s="4" t="s">
        <v>91</v>
      </c>
      <c r="J195" s="4" t="s">
        <v>20</v>
      </c>
      <c r="K195" s="4" t="s">
        <v>20</v>
      </c>
      <c r="L195" s="4" t="s">
        <v>20</v>
      </c>
      <c r="M195" s="4" t="s">
        <v>684</v>
      </c>
      <c r="N195" t="str">
        <f t="shared" ref="N195:N222" ca="1" si="9">IF(F195&lt;TODAY(),"Overdue",IF(F195&lt;=TODAY()+14,"Current","Not Due"))</f>
        <v>Current</v>
      </c>
      <c r="O195" s="4" t="s">
        <v>588</v>
      </c>
    </row>
    <row r="196" spans="1:16" ht="21.6" x14ac:dyDescent="0.35">
      <c r="A196" s="1" t="s">
        <v>585</v>
      </c>
      <c r="B196" s="4" t="s">
        <v>208</v>
      </c>
      <c r="C196" s="4" t="s">
        <v>685</v>
      </c>
      <c r="D196" s="4" t="s">
        <v>29</v>
      </c>
      <c r="E196" s="4" t="s">
        <v>237</v>
      </c>
      <c r="F196" s="6">
        <f t="shared" si="8"/>
        <v>46173</v>
      </c>
      <c r="G196" s="5">
        <v>10086.98</v>
      </c>
      <c r="H196" s="5">
        <v>10086.98</v>
      </c>
      <c r="I196" s="4" t="s">
        <v>91</v>
      </c>
      <c r="J196" s="4" t="s">
        <v>20</v>
      </c>
      <c r="K196" s="4" t="s">
        <v>20</v>
      </c>
      <c r="L196" s="4" t="s">
        <v>20</v>
      </c>
      <c r="M196" s="4" t="s">
        <v>686</v>
      </c>
      <c r="N196" t="str">
        <f t="shared" ca="1" si="9"/>
        <v>Current</v>
      </c>
      <c r="O196" s="4" t="s">
        <v>588</v>
      </c>
    </row>
    <row r="197" spans="1:16" ht="21.6" x14ac:dyDescent="0.35">
      <c r="A197" s="1" t="s">
        <v>585</v>
      </c>
      <c r="B197" s="4" t="s">
        <v>208</v>
      </c>
      <c r="C197" s="4" t="s">
        <v>687</v>
      </c>
      <c r="D197" s="4" t="s">
        <v>29</v>
      </c>
      <c r="E197" s="4" t="s">
        <v>237</v>
      </c>
      <c r="F197" s="6">
        <f t="shared" si="8"/>
        <v>46173</v>
      </c>
      <c r="G197" s="5">
        <v>16119.61</v>
      </c>
      <c r="H197" s="5">
        <v>16119.61</v>
      </c>
      <c r="I197" s="4" t="s">
        <v>91</v>
      </c>
      <c r="J197" s="4" t="s">
        <v>20</v>
      </c>
      <c r="K197" s="4" t="s">
        <v>20</v>
      </c>
      <c r="L197" s="4" t="s">
        <v>20</v>
      </c>
      <c r="M197" s="4" t="s">
        <v>688</v>
      </c>
      <c r="N197" t="str">
        <f t="shared" ca="1" si="9"/>
        <v>Current</v>
      </c>
      <c r="O197" s="4" t="s">
        <v>588</v>
      </c>
    </row>
    <row r="198" spans="1:16" ht="15.6" x14ac:dyDescent="0.35">
      <c r="A198" s="1" t="s">
        <v>585</v>
      </c>
      <c r="B198" s="4" t="s">
        <v>230</v>
      </c>
      <c r="C198" s="4" t="s">
        <v>20</v>
      </c>
      <c r="D198" s="4" t="s">
        <v>54</v>
      </c>
      <c r="E198" s="4" t="s">
        <v>569</v>
      </c>
      <c r="F198" s="6">
        <f t="shared" si="8"/>
        <v>46187</v>
      </c>
      <c r="G198" s="5">
        <v>1575</v>
      </c>
      <c r="H198" s="5">
        <v>1575</v>
      </c>
      <c r="I198" s="4" t="s">
        <v>91</v>
      </c>
      <c r="J198" s="4" t="s">
        <v>20</v>
      </c>
      <c r="K198" s="4" t="s">
        <v>20</v>
      </c>
      <c r="L198" s="4" t="s">
        <v>20</v>
      </c>
      <c r="M198" s="4" t="s">
        <v>689</v>
      </c>
      <c r="N198" t="str">
        <f t="shared" ca="1" si="9"/>
        <v>Not Due</v>
      </c>
      <c r="O198" s="4"/>
    </row>
    <row r="199" spans="1:16" ht="15.6" x14ac:dyDescent="0.35">
      <c r="A199" s="1" t="s">
        <v>238</v>
      </c>
      <c r="B199" s="4" t="s">
        <v>239</v>
      </c>
      <c r="C199" s="4" t="s">
        <v>20</v>
      </c>
      <c r="D199" s="4" t="s">
        <v>54</v>
      </c>
      <c r="E199" s="4" t="s">
        <v>222</v>
      </c>
      <c r="F199" s="6">
        <f t="shared" si="8"/>
        <v>46174</v>
      </c>
      <c r="G199" s="5">
        <v>40813.35</v>
      </c>
      <c r="H199" s="5">
        <v>40813.35</v>
      </c>
      <c r="I199" s="4" t="s">
        <v>17</v>
      </c>
      <c r="J199" s="4" t="s">
        <v>20</v>
      </c>
      <c r="K199" s="4" t="s">
        <v>20</v>
      </c>
      <c r="L199" s="4" t="s">
        <v>20</v>
      </c>
      <c r="M199" s="4" t="s">
        <v>240</v>
      </c>
      <c r="N199" t="str">
        <f t="shared" ca="1" si="9"/>
        <v>Current</v>
      </c>
      <c r="O199" s="4"/>
    </row>
    <row r="200" spans="1:16" ht="15.6" x14ac:dyDescent="0.35">
      <c r="A200" s="1" t="s">
        <v>585</v>
      </c>
      <c r="B200" s="4" t="s">
        <v>230</v>
      </c>
      <c r="C200" s="4" t="s">
        <v>20</v>
      </c>
      <c r="D200" s="4" t="s">
        <v>54</v>
      </c>
      <c r="E200" s="4" t="s">
        <v>569</v>
      </c>
      <c r="F200" s="6">
        <f t="shared" si="8"/>
        <v>46187</v>
      </c>
      <c r="G200" s="5">
        <v>440</v>
      </c>
      <c r="H200" s="5">
        <v>440</v>
      </c>
      <c r="I200" s="4" t="s">
        <v>91</v>
      </c>
      <c r="J200" s="4" t="s">
        <v>20</v>
      </c>
      <c r="K200" s="4" t="s">
        <v>20</v>
      </c>
      <c r="L200" s="4" t="s">
        <v>20</v>
      </c>
      <c r="M200" s="4" t="s">
        <v>690</v>
      </c>
      <c r="N200" t="str">
        <f t="shared" ca="1" si="9"/>
        <v>Not Due</v>
      </c>
      <c r="O200" s="4"/>
    </row>
    <row r="201" spans="1:16" ht="15.6" x14ac:dyDescent="0.35">
      <c r="A201" s="1" t="s">
        <v>585</v>
      </c>
      <c r="B201" s="4" t="s">
        <v>230</v>
      </c>
      <c r="C201" s="4" t="s">
        <v>20</v>
      </c>
      <c r="D201" s="4" t="s">
        <v>54</v>
      </c>
      <c r="E201" s="4" t="s">
        <v>569</v>
      </c>
      <c r="F201" s="6">
        <f t="shared" si="8"/>
        <v>46187</v>
      </c>
      <c r="G201" s="5">
        <v>7125</v>
      </c>
      <c r="H201" s="5">
        <v>7125</v>
      </c>
      <c r="I201" s="4" t="s">
        <v>91</v>
      </c>
      <c r="J201" s="4" t="s">
        <v>20</v>
      </c>
      <c r="K201" s="4" t="s">
        <v>20</v>
      </c>
      <c r="L201" s="4" t="s">
        <v>20</v>
      </c>
      <c r="M201" s="4" t="s">
        <v>691</v>
      </c>
      <c r="N201" t="str">
        <f t="shared" ca="1" si="9"/>
        <v>Not Due</v>
      </c>
      <c r="O201" s="4"/>
    </row>
    <row r="202" spans="1:16" ht="15.6" x14ac:dyDescent="0.35">
      <c r="A202" s="1" t="s">
        <v>585</v>
      </c>
      <c r="B202" s="4" t="s">
        <v>230</v>
      </c>
      <c r="C202" s="4" t="s">
        <v>20</v>
      </c>
      <c r="D202" s="4" t="s">
        <v>54</v>
      </c>
      <c r="E202" s="4" t="s">
        <v>569</v>
      </c>
      <c r="F202" s="6">
        <f t="shared" si="8"/>
        <v>46187</v>
      </c>
      <c r="G202" s="5">
        <v>1890</v>
      </c>
      <c r="H202" s="5">
        <v>1890</v>
      </c>
      <c r="I202" s="4" t="s">
        <v>91</v>
      </c>
      <c r="J202" s="4" t="s">
        <v>20</v>
      </c>
      <c r="K202" s="4" t="s">
        <v>20</v>
      </c>
      <c r="L202" s="4" t="s">
        <v>20</v>
      </c>
      <c r="M202" s="4" t="s">
        <v>692</v>
      </c>
      <c r="N202" t="str">
        <f t="shared" ca="1" si="9"/>
        <v>Not Due</v>
      </c>
    </row>
    <row r="203" spans="1:16" ht="15.6" x14ac:dyDescent="0.35">
      <c r="A203" s="1" t="s">
        <v>238</v>
      </c>
      <c r="B203" s="4" t="s">
        <v>239</v>
      </c>
      <c r="C203" s="4" t="s">
        <v>20</v>
      </c>
      <c r="D203" s="4" t="s">
        <v>460</v>
      </c>
      <c r="E203" s="4" t="s">
        <v>693</v>
      </c>
      <c r="F203" s="6">
        <f t="shared" si="8"/>
        <v>46357</v>
      </c>
      <c r="G203" s="5">
        <v>42037.75</v>
      </c>
      <c r="H203" s="5">
        <v>42037.75</v>
      </c>
      <c r="I203" s="4" t="s">
        <v>17</v>
      </c>
      <c r="J203" s="4" t="s">
        <v>20</v>
      </c>
      <c r="K203" s="4" t="s">
        <v>20</v>
      </c>
      <c r="L203" s="4" t="s">
        <v>20</v>
      </c>
      <c r="M203" s="4" t="s">
        <v>694</v>
      </c>
      <c r="N203" t="str">
        <f t="shared" ca="1" si="9"/>
        <v>Not Due</v>
      </c>
      <c r="O203" s="4"/>
    </row>
    <row r="204" spans="1:16" ht="15.6" x14ac:dyDescent="0.35">
      <c r="A204" s="1" t="s">
        <v>238</v>
      </c>
      <c r="B204" s="4" t="s">
        <v>239</v>
      </c>
      <c r="C204" s="4" t="s">
        <v>20</v>
      </c>
      <c r="D204" s="4" t="s">
        <v>474</v>
      </c>
      <c r="E204" s="4" t="s">
        <v>695</v>
      </c>
      <c r="F204" s="6">
        <f t="shared" si="8"/>
        <v>46327</v>
      </c>
      <c r="G204" s="5">
        <v>40813.35</v>
      </c>
      <c r="H204" s="5">
        <v>40813.35</v>
      </c>
      <c r="I204" s="4" t="s">
        <v>17</v>
      </c>
      <c r="J204" s="4" t="s">
        <v>20</v>
      </c>
      <c r="K204" s="4" t="s">
        <v>20</v>
      </c>
      <c r="L204" s="4" t="s">
        <v>20</v>
      </c>
      <c r="M204" s="4" t="s">
        <v>696</v>
      </c>
      <c r="N204" t="str">
        <f t="shared" ca="1" si="9"/>
        <v>Not Due</v>
      </c>
      <c r="O204" s="4"/>
    </row>
    <row r="205" spans="1:16" ht="15.6" x14ac:dyDescent="0.35">
      <c r="A205" s="1" t="s">
        <v>241</v>
      </c>
      <c r="B205" s="4" t="s">
        <v>239</v>
      </c>
      <c r="C205" s="4" t="s">
        <v>242</v>
      </c>
      <c r="D205" s="4" t="s">
        <v>149</v>
      </c>
      <c r="E205" s="4" t="s">
        <v>68</v>
      </c>
      <c r="F205" s="6">
        <f t="shared" si="8"/>
        <v>46141</v>
      </c>
      <c r="G205" s="5">
        <v>1200</v>
      </c>
      <c r="H205" s="5">
        <v>1200</v>
      </c>
      <c r="I205" s="4" t="s">
        <v>17</v>
      </c>
      <c r="J205" s="4" t="s">
        <v>243</v>
      </c>
      <c r="K205" s="4" t="s">
        <v>20</v>
      </c>
      <c r="L205" s="4" t="s">
        <v>20</v>
      </c>
      <c r="M205" s="4" t="s">
        <v>244</v>
      </c>
      <c r="N205" t="str">
        <f t="shared" ca="1" si="9"/>
        <v>Overdue</v>
      </c>
      <c r="O205" s="4"/>
    </row>
    <row r="206" spans="1:16" ht="15.6" x14ac:dyDescent="0.35">
      <c r="A206" s="1" t="s">
        <v>238</v>
      </c>
      <c r="B206" s="4" t="s">
        <v>239</v>
      </c>
      <c r="C206" s="4" t="s">
        <v>20</v>
      </c>
      <c r="D206" s="4" t="s">
        <v>452</v>
      </c>
      <c r="E206" s="4" t="s">
        <v>697</v>
      </c>
      <c r="F206" s="6">
        <f t="shared" si="8"/>
        <v>46296</v>
      </c>
      <c r="G206" s="5">
        <v>40813.35</v>
      </c>
      <c r="H206" s="5">
        <v>40813.35</v>
      </c>
      <c r="I206" s="4" t="s">
        <v>17</v>
      </c>
      <c r="J206" s="4" t="s">
        <v>20</v>
      </c>
      <c r="K206" s="4" t="s">
        <v>20</v>
      </c>
      <c r="L206" s="4" t="s">
        <v>20</v>
      </c>
      <c r="M206" s="4" t="s">
        <v>698</v>
      </c>
      <c r="N206" t="str">
        <f t="shared" ca="1" si="9"/>
        <v>Not Due</v>
      </c>
      <c r="O206" s="4"/>
    </row>
    <row r="207" spans="1:16" ht="15.6" x14ac:dyDescent="0.35">
      <c r="A207" s="1" t="s">
        <v>238</v>
      </c>
      <c r="B207" s="4" t="s">
        <v>239</v>
      </c>
      <c r="C207" s="4" t="s">
        <v>20</v>
      </c>
      <c r="D207" s="4" t="s">
        <v>462</v>
      </c>
      <c r="E207" s="4" t="s">
        <v>699</v>
      </c>
      <c r="F207" s="6">
        <f t="shared" si="8"/>
        <v>46204</v>
      </c>
      <c r="G207" s="5">
        <v>40813.35</v>
      </c>
      <c r="H207" s="5">
        <v>40813.35</v>
      </c>
      <c r="I207" s="4" t="s">
        <v>17</v>
      </c>
      <c r="J207" s="4" t="s">
        <v>20</v>
      </c>
      <c r="K207" s="4" t="s">
        <v>20</v>
      </c>
      <c r="L207" s="4" t="s">
        <v>20</v>
      </c>
      <c r="M207" s="4" t="s">
        <v>700</v>
      </c>
      <c r="N207" t="str">
        <f t="shared" ca="1" si="9"/>
        <v>Not Due</v>
      </c>
      <c r="O207" s="4"/>
    </row>
    <row r="208" spans="1:16" ht="15.6" x14ac:dyDescent="0.35">
      <c r="A208" s="1" t="s">
        <v>238</v>
      </c>
      <c r="B208" s="4" t="s">
        <v>239</v>
      </c>
      <c r="C208" s="4" t="s">
        <v>20</v>
      </c>
      <c r="D208" s="4" t="s">
        <v>455</v>
      </c>
      <c r="E208" s="4" t="s">
        <v>451</v>
      </c>
      <c r="F208" s="6">
        <f t="shared" si="8"/>
        <v>46266</v>
      </c>
      <c r="G208" s="5">
        <v>40813.35</v>
      </c>
      <c r="H208" s="5">
        <v>40813.35</v>
      </c>
      <c r="I208" s="4" t="s">
        <v>17</v>
      </c>
      <c r="J208" s="4" t="s">
        <v>20</v>
      </c>
      <c r="K208" s="4" t="s">
        <v>20</v>
      </c>
      <c r="L208" s="4" t="s">
        <v>20</v>
      </c>
      <c r="M208" s="4" t="s">
        <v>701</v>
      </c>
      <c r="N208" t="str">
        <f t="shared" ca="1" si="9"/>
        <v>Not Due</v>
      </c>
      <c r="O208" s="4"/>
      <c r="P208" s="4"/>
    </row>
    <row r="209" spans="1:16" ht="15.6" x14ac:dyDescent="0.35">
      <c r="A209" s="1" t="s">
        <v>238</v>
      </c>
      <c r="B209" s="4" t="s">
        <v>239</v>
      </c>
      <c r="C209" s="4" t="s">
        <v>20</v>
      </c>
      <c r="D209" s="4" t="s">
        <v>458</v>
      </c>
      <c r="E209" s="4" t="s">
        <v>702</v>
      </c>
      <c r="F209" s="6">
        <f t="shared" si="8"/>
        <v>46235</v>
      </c>
      <c r="G209" s="5">
        <v>40813.35</v>
      </c>
      <c r="H209" s="5">
        <v>40813.35</v>
      </c>
      <c r="I209" s="4" t="s">
        <v>17</v>
      </c>
      <c r="J209" s="4" t="s">
        <v>20</v>
      </c>
      <c r="K209" s="4" t="s">
        <v>20</v>
      </c>
      <c r="L209" s="4" t="s">
        <v>20</v>
      </c>
      <c r="M209" s="4" t="s">
        <v>703</v>
      </c>
      <c r="N209" t="str">
        <f t="shared" ca="1" si="9"/>
        <v>Not Due</v>
      </c>
      <c r="O209" s="4"/>
    </row>
    <row r="210" spans="1:16" ht="15.6" x14ac:dyDescent="0.35">
      <c r="A210" s="1" t="s">
        <v>241</v>
      </c>
      <c r="B210" s="4" t="s">
        <v>239</v>
      </c>
      <c r="C210" s="4" t="s">
        <v>245</v>
      </c>
      <c r="D210" s="4" t="s">
        <v>216</v>
      </c>
      <c r="E210" s="4" t="s">
        <v>246</v>
      </c>
      <c r="F210" s="6">
        <f t="shared" si="8"/>
        <v>46129</v>
      </c>
      <c r="G210" s="5">
        <v>28510</v>
      </c>
      <c r="H210" s="5">
        <v>28510</v>
      </c>
      <c r="I210" s="4" t="s">
        <v>17</v>
      </c>
      <c r="J210" s="4" t="s">
        <v>243</v>
      </c>
      <c r="K210" s="4" t="s">
        <v>20</v>
      </c>
      <c r="L210" s="4" t="s">
        <v>20</v>
      </c>
      <c r="M210" s="4" t="s">
        <v>247</v>
      </c>
      <c r="N210" t="str">
        <f t="shared" ca="1" si="9"/>
        <v>Overdue</v>
      </c>
    </row>
    <row r="211" spans="1:16" ht="21.6" x14ac:dyDescent="0.35">
      <c r="A211" s="1" t="s">
        <v>248</v>
      </c>
      <c r="B211" s="4" t="s">
        <v>239</v>
      </c>
      <c r="C211" s="4" t="s">
        <v>249</v>
      </c>
      <c r="D211" s="4" t="s">
        <v>31</v>
      </c>
      <c r="E211" s="4" t="s">
        <v>237</v>
      </c>
      <c r="F211" s="6">
        <f t="shared" si="8"/>
        <v>46173</v>
      </c>
      <c r="G211" s="5">
        <v>879.01</v>
      </c>
      <c r="H211" s="5">
        <v>879.01</v>
      </c>
      <c r="I211" s="4" t="s">
        <v>17</v>
      </c>
      <c r="J211" s="4" t="s">
        <v>250</v>
      </c>
      <c r="K211" s="4" t="s">
        <v>54</v>
      </c>
      <c r="L211" s="4" t="s">
        <v>20</v>
      </c>
      <c r="M211" s="4" t="s">
        <v>251</v>
      </c>
      <c r="N211" t="str">
        <f t="shared" ca="1" si="9"/>
        <v>Current</v>
      </c>
      <c r="O211" s="7"/>
    </row>
    <row r="212" spans="1:16" ht="21.6" x14ac:dyDescent="0.35">
      <c r="A212" s="1" t="s">
        <v>248</v>
      </c>
      <c r="B212" s="4" t="s">
        <v>239</v>
      </c>
      <c r="C212" s="4" t="s">
        <v>252</v>
      </c>
      <c r="D212" s="4" t="s">
        <v>31</v>
      </c>
      <c r="E212" s="4" t="s">
        <v>253</v>
      </c>
      <c r="F212" s="6">
        <f t="shared" si="8"/>
        <v>46175</v>
      </c>
      <c r="G212" s="5">
        <v>1879.71</v>
      </c>
      <c r="H212" s="5">
        <v>1879.71</v>
      </c>
      <c r="I212" s="4" t="s">
        <v>17</v>
      </c>
      <c r="J212" s="4" t="s">
        <v>250</v>
      </c>
      <c r="K212" s="4" t="s">
        <v>54</v>
      </c>
      <c r="L212" s="4" t="s">
        <v>20</v>
      </c>
      <c r="M212" s="4" t="s">
        <v>254</v>
      </c>
      <c r="N212" t="str">
        <f t="shared" ca="1" si="9"/>
        <v>Current</v>
      </c>
      <c r="O212" s="7"/>
    </row>
    <row r="213" spans="1:16" ht="15.6" x14ac:dyDescent="0.35">
      <c r="A213" s="1" t="s">
        <v>255</v>
      </c>
      <c r="B213" s="4" t="s">
        <v>239</v>
      </c>
      <c r="C213" s="4" t="s">
        <v>20</v>
      </c>
      <c r="D213" s="4" t="s">
        <v>222</v>
      </c>
      <c r="E213" s="4" t="s">
        <v>222</v>
      </c>
      <c r="F213" s="6">
        <f t="shared" si="8"/>
        <v>46174</v>
      </c>
      <c r="G213" s="5">
        <v>41008</v>
      </c>
      <c r="H213" s="5">
        <v>41008</v>
      </c>
      <c r="I213" s="4" t="s">
        <v>17</v>
      </c>
      <c r="J213" s="4" t="s">
        <v>20</v>
      </c>
      <c r="K213" s="4" t="s">
        <v>20</v>
      </c>
      <c r="L213" s="4" t="s">
        <v>20</v>
      </c>
      <c r="M213" s="4" t="s">
        <v>256</v>
      </c>
      <c r="N213" t="str">
        <f t="shared" ca="1" si="9"/>
        <v>Current</v>
      </c>
    </row>
    <row r="214" spans="1:16" ht="21.6" x14ac:dyDescent="0.35">
      <c r="A214" s="1" t="s">
        <v>255</v>
      </c>
      <c r="B214" s="4" t="s">
        <v>239</v>
      </c>
      <c r="C214" s="4" t="s">
        <v>257</v>
      </c>
      <c r="D214" s="4" t="s">
        <v>36</v>
      </c>
      <c r="E214" s="4" t="s">
        <v>136</v>
      </c>
      <c r="F214" s="6">
        <f t="shared" si="8"/>
        <v>46172</v>
      </c>
      <c r="G214" s="5">
        <v>243.25</v>
      </c>
      <c r="H214" s="5">
        <v>243.25</v>
      </c>
      <c r="I214" s="4" t="s">
        <v>17</v>
      </c>
      <c r="J214" s="4" t="s">
        <v>250</v>
      </c>
      <c r="K214" s="4" t="s">
        <v>54</v>
      </c>
      <c r="L214" s="4" t="s">
        <v>20</v>
      </c>
      <c r="M214" s="4" t="s">
        <v>258</v>
      </c>
      <c r="N214" t="str">
        <f t="shared" ca="1" si="9"/>
        <v>Current</v>
      </c>
      <c r="O214" s="4"/>
    </row>
    <row r="215" spans="1:16" ht="15.6" x14ac:dyDescent="0.35">
      <c r="A215" s="1" t="s">
        <v>255</v>
      </c>
      <c r="B215" s="4" t="s">
        <v>239</v>
      </c>
      <c r="C215" s="4" t="s">
        <v>20</v>
      </c>
      <c r="D215" s="4" t="s">
        <v>697</v>
      </c>
      <c r="E215" s="4" t="s">
        <v>697</v>
      </c>
      <c r="F215" s="6">
        <f t="shared" si="8"/>
        <v>46296</v>
      </c>
      <c r="G215" s="5">
        <v>41008</v>
      </c>
      <c r="H215" s="5">
        <v>41008</v>
      </c>
      <c r="I215" s="4" t="s">
        <v>17</v>
      </c>
      <c r="J215" s="4" t="s">
        <v>20</v>
      </c>
      <c r="K215" s="4" t="s">
        <v>20</v>
      </c>
      <c r="L215" s="4" t="s">
        <v>20</v>
      </c>
      <c r="M215" s="4" t="s">
        <v>704</v>
      </c>
      <c r="N215" t="str">
        <f t="shared" ca="1" si="9"/>
        <v>Not Due</v>
      </c>
      <c r="O215" s="4"/>
    </row>
    <row r="216" spans="1:16" ht="21.6" x14ac:dyDescent="0.35">
      <c r="A216" s="1" t="s">
        <v>259</v>
      </c>
      <c r="B216" s="4" t="s">
        <v>239</v>
      </c>
      <c r="C216" s="4" t="s">
        <v>260</v>
      </c>
      <c r="D216" s="4" t="s">
        <v>64</v>
      </c>
      <c r="E216" s="4" t="s">
        <v>237</v>
      </c>
      <c r="F216" s="6">
        <f t="shared" si="8"/>
        <v>46173</v>
      </c>
      <c r="G216" s="5">
        <v>94.9</v>
      </c>
      <c r="H216" s="5">
        <v>94.9</v>
      </c>
      <c r="I216" s="4" t="s">
        <v>17</v>
      </c>
      <c r="J216" s="4" t="s">
        <v>20</v>
      </c>
      <c r="K216" s="4" t="s">
        <v>20</v>
      </c>
      <c r="L216" s="4" t="s">
        <v>20</v>
      </c>
      <c r="M216" s="4" t="s">
        <v>261</v>
      </c>
      <c r="N216" t="str">
        <f t="shared" ca="1" si="9"/>
        <v>Current</v>
      </c>
    </row>
    <row r="217" spans="1:16" ht="15.6" x14ac:dyDescent="0.35">
      <c r="A217" s="1" t="s">
        <v>255</v>
      </c>
      <c r="B217" s="4" t="s">
        <v>239</v>
      </c>
      <c r="C217" s="4" t="s">
        <v>20</v>
      </c>
      <c r="D217" s="4" t="s">
        <v>693</v>
      </c>
      <c r="E217" s="4" t="s">
        <v>693</v>
      </c>
      <c r="F217" s="6">
        <f t="shared" si="8"/>
        <v>46357</v>
      </c>
      <c r="G217" s="5">
        <v>41008</v>
      </c>
      <c r="H217" s="5">
        <v>41008</v>
      </c>
      <c r="I217" s="4" t="s">
        <v>17</v>
      </c>
      <c r="J217" s="4" t="s">
        <v>20</v>
      </c>
      <c r="K217" s="4" t="s">
        <v>20</v>
      </c>
      <c r="L217" s="4" t="s">
        <v>20</v>
      </c>
      <c r="M217" s="4" t="s">
        <v>705</v>
      </c>
      <c r="N217" t="str">
        <f t="shared" ca="1" si="9"/>
        <v>Not Due</v>
      </c>
    </row>
    <row r="218" spans="1:16" ht="15.6" x14ac:dyDescent="0.35">
      <c r="A218" s="1" t="s">
        <v>255</v>
      </c>
      <c r="B218" s="4" t="s">
        <v>239</v>
      </c>
      <c r="C218" s="4" t="s">
        <v>20</v>
      </c>
      <c r="D218" s="4" t="s">
        <v>699</v>
      </c>
      <c r="E218" s="4" t="s">
        <v>699</v>
      </c>
      <c r="F218" s="6">
        <f t="shared" si="8"/>
        <v>46204</v>
      </c>
      <c r="G218" s="5">
        <v>41008</v>
      </c>
      <c r="H218" s="5">
        <v>41008</v>
      </c>
      <c r="I218" s="4" t="s">
        <v>17</v>
      </c>
      <c r="J218" s="4" t="s">
        <v>20</v>
      </c>
      <c r="K218" s="4" t="s">
        <v>20</v>
      </c>
      <c r="L218" s="4" t="s">
        <v>20</v>
      </c>
      <c r="M218" s="4" t="s">
        <v>706</v>
      </c>
      <c r="N218" t="str">
        <f t="shared" ca="1" si="9"/>
        <v>Not Due</v>
      </c>
      <c r="P218" s="4"/>
    </row>
    <row r="219" spans="1:16" ht="15.6" x14ac:dyDescent="0.35">
      <c r="A219" s="1" t="s">
        <v>255</v>
      </c>
      <c r="B219" s="4" t="s">
        <v>239</v>
      </c>
      <c r="C219" s="4" t="s">
        <v>20</v>
      </c>
      <c r="D219" s="4" t="s">
        <v>451</v>
      </c>
      <c r="E219" s="4" t="s">
        <v>451</v>
      </c>
      <c r="F219" s="6">
        <f t="shared" si="8"/>
        <v>46266</v>
      </c>
      <c r="G219" s="5">
        <v>41008</v>
      </c>
      <c r="H219" s="5">
        <v>41008</v>
      </c>
      <c r="I219" s="4" t="s">
        <v>17</v>
      </c>
      <c r="J219" s="4" t="s">
        <v>20</v>
      </c>
      <c r="K219" s="4" t="s">
        <v>20</v>
      </c>
      <c r="L219" s="4" t="s">
        <v>20</v>
      </c>
      <c r="M219" s="4" t="s">
        <v>707</v>
      </c>
      <c r="N219" t="str">
        <f t="shared" ca="1" si="9"/>
        <v>Not Due</v>
      </c>
    </row>
    <row r="220" spans="1:16" ht="15.6" x14ac:dyDescent="0.35">
      <c r="A220" s="1" t="s">
        <v>255</v>
      </c>
      <c r="B220" s="4" t="s">
        <v>239</v>
      </c>
      <c r="C220" s="4" t="s">
        <v>20</v>
      </c>
      <c r="D220" s="4" t="s">
        <v>695</v>
      </c>
      <c r="E220" s="4" t="s">
        <v>695</v>
      </c>
      <c r="F220" s="6">
        <f t="shared" si="8"/>
        <v>46327</v>
      </c>
      <c r="G220" s="5">
        <v>41008</v>
      </c>
      <c r="H220" s="5">
        <v>41008</v>
      </c>
      <c r="I220" s="4" t="s">
        <v>17</v>
      </c>
      <c r="J220" s="4" t="s">
        <v>20</v>
      </c>
      <c r="K220" s="4" t="s">
        <v>20</v>
      </c>
      <c r="L220" s="4" t="s">
        <v>20</v>
      </c>
      <c r="M220" s="4" t="s">
        <v>708</v>
      </c>
      <c r="N220" t="str">
        <f t="shared" ca="1" si="9"/>
        <v>Not Due</v>
      </c>
    </row>
    <row r="221" spans="1:16" ht="15.6" x14ac:dyDescent="0.35">
      <c r="A221" s="1" t="s">
        <v>255</v>
      </c>
      <c r="B221" s="4" t="s">
        <v>239</v>
      </c>
      <c r="C221" s="4" t="s">
        <v>20</v>
      </c>
      <c r="D221" s="4" t="s">
        <v>702</v>
      </c>
      <c r="E221" s="4" t="s">
        <v>702</v>
      </c>
      <c r="F221" s="6">
        <f t="shared" si="8"/>
        <v>46235</v>
      </c>
      <c r="G221" s="5">
        <v>41008</v>
      </c>
      <c r="H221" s="5">
        <v>41008</v>
      </c>
      <c r="I221" s="4" t="s">
        <v>17</v>
      </c>
      <c r="J221" s="4" t="s">
        <v>20</v>
      </c>
      <c r="K221" s="4" t="s">
        <v>20</v>
      </c>
      <c r="L221" s="4" t="s">
        <v>20</v>
      </c>
      <c r="M221" s="4" t="s">
        <v>709</v>
      </c>
      <c r="N221" t="str">
        <f t="shared" ca="1" si="9"/>
        <v>Not Due</v>
      </c>
      <c r="O221" s="7"/>
    </row>
    <row r="222" spans="1:16" ht="21.6" x14ac:dyDescent="0.35">
      <c r="A222" s="1" t="s">
        <v>259</v>
      </c>
      <c r="B222" s="4" t="s">
        <v>239</v>
      </c>
      <c r="C222" s="4" t="s">
        <v>262</v>
      </c>
      <c r="D222" s="4" t="s">
        <v>64</v>
      </c>
      <c r="E222" s="4" t="s">
        <v>237</v>
      </c>
      <c r="F222" s="6">
        <f t="shared" si="8"/>
        <v>46173</v>
      </c>
      <c r="G222" s="5">
        <v>44.95</v>
      </c>
      <c r="H222" s="5">
        <v>44.95</v>
      </c>
      <c r="I222" s="4" t="s">
        <v>17</v>
      </c>
      <c r="J222" s="4" t="s">
        <v>20</v>
      </c>
      <c r="K222" s="4" t="s">
        <v>20</v>
      </c>
      <c r="L222" s="4" t="s">
        <v>20</v>
      </c>
      <c r="M222" s="4" t="s">
        <v>263</v>
      </c>
      <c r="N222" t="str">
        <f t="shared" ca="1" si="9"/>
        <v>Current</v>
      </c>
    </row>
    <row r="223" spans="1:16" ht="15.6" x14ac:dyDescent="0.35">
      <c r="A223" s="1" t="s">
        <v>412</v>
      </c>
      <c r="B223" s="4" t="s">
        <v>265</v>
      </c>
      <c r="C223" s="4"/>
      <c r="D223" s="4"/>
      <c r="E223" s="4"/>
      <c r="F223" s="6"/>
      <c r="G223" s="5"/>
      <c r="H223" s="5">
        <v>5000</v>
      </c>
      <c r="I223" s="4" t="s">
        <v>91</v>
      </c>
      <c r="J223" s="4"/>
      <c r="K223" s="4"/>
      <c r="L223" s="4"/>
      <c r="M223" s="4" t="s">
        <v>413</v>
      </c>
      <c r="N223" t="s">
        <v>710</v>
      </c>
      <c r="O223" s="7"/>
    </row>
    <row r="224" spans="1:16" ht="21.6" x14ac:dyDescent="0.35">
      <c r="A224" s="1" t="s">
        <v>264</v>
      </c>
      <c r="B224" s="4" t="s">
        <v>265</v>
      </c>
      <c r="C224" s="4" t="s">
        <v>266</v>
      </c>
      <c r="D224" s="4" t="s">
        <v>64</v>
      </c>
      <c r="E224" s="4" t="s">
        <v>237</v>
      </c>
      <c r="F224" s="6">
        <f t="shared" ref="F224:F255" si="10">+E224*1</f>
        <v>46173</v>
      </c>
      <c r="G224" s="5">
        <v>1199.1600000000001</v>
      </c>
      <c r="H224" s="5">
        <v>1199.1600000000001</v>
      </c>
      <c r="I224" s="4" t="s">
        <v>17</v>
      </c>
      <c r="J224" s="4" t="s">
        <v>20</v>
      </c>
      <c r="K224" s="4" t="s">
        <v>20</v>
      </c>
      <c r="L224" s="4" t="s">
        <v>20</v>
      </c>
      <c r="M224" s="4" t="s">
        <v>267</v>
      </c>
      <c r="N224" t="str">
        <f t="shared" ref="N224:N255" ca="1" si="11">IF(F224&lt;TODAY(),"Overdue",IF(F224&lt;=TODAY()+14,"Current","Not Due"))</f>
        <v>Current</v>
      </c>
      <c r="O224" s="4"/>
    </row>
    <row r="225" spans="1:16" ht="21.6" x14ac:dyDescent="0.35">
      <c r="A225" s="1" t="s">
        <v>264</v>
      </c>
      <c r="B225" s="4" t="s">
        <v>265</v>
      </c>
      <c r="C225" s="4" t="s">
        <v>268</v>
      </c>
      <c r="D225" s="4" t="s">
        <v>64</v>
      </c>
      <c r="E225" s="4" t="s">
        <v>237</v>
      </c>
      <c r="F225" s="6">
        <f t="shared" si="10"/>
        <v>46173</v>
      </c>
      <c r="G225" s="5">
        <v>2362.87</v>
      </c>
      <c r="H225" s="5">
        <v>2362.87</v>
      </c>
      <c r="I225" s="4" t="s">
        <v>17</v>
      </c>
      <c r="J225" s="4" t="s">
        <v>20</v>
      </c>
      <c r="K225" s="4" t="s">
        <v>20</v>
      </c>
      <c r="L225" s="4" t="s">
        <v>20</v>
      </c>
      <c r="M225" s="4" t="s">
        <v>269</v>
      </c>
      <c r="N225" t="str">
        <f t="shared" ca="1" si="11"/>
        <v>Current</v>
      </c>
      <c r="O225" s="7"/>
    </row>
    <row r="226" spans="1:16" ht="15.6" x14ac:dyDescent="0.35">
      <c r="A226" s="1" t="s">
        <v>270</v>
      </c>
      <c r="B226" s="4" t="s">
        <v>265</v>
      </c>
      <c r="C226" s="4" t="s">
        <v>271</v>
      </c>
      <c r="D226" s="4" t="s">
        <v>64</v>
      </c>
      <c r="E226" s="4" t="s">
        <v>272</v>
      </c>
      <c r="F226" s="6">
        <f t="shared" si="10"/>
        <v>46176</v>
      </c>
      <c r="G226" s="5">
        <v>1499.08</v>
      </c>
      <c r="H226" s="5">
        <v>1499.08</v>
      </c>
      <c r="I226" s="4" t="s">
        <v>17</v>
      </c>
      <c r="J226" s="4" t="s">
        <v>250</v>
      </c>
      <c r="K226" s="4" t="s">
        <v>54</v>
      </c>
      <c r="L226" s="4" t="s">
        <v>20</v>
      </c>
      <c r="M226" s="4" t="s">
        <v>273</v>
      </c>
      <c r="N226" t="str">
        <f t="shared" ca="1" si="11"/>
        <v>Current</v>
      </c>
      <c r="O226" s="7"/>
    </row>
    <row r="227" spans="1:16" ht="21.6" x14ac:dyDescent="0.35">
      <c r="A227" s="1" t="s">
        <v>384</v>
      </c>
      <c r="B227" s="4" t="s">
        <v>265</v>
      </c>
      <c r="C227" s="4" t="s">
        <v>385</v>
      </c>
      <c r="D227" s="4" t="s">
        <v>29</v>
      </c>
      <c r="E227" s="4" t="s">
        <v>136</v>
      </c>
      <c r="F227" s="6">
        <f t="shared" si="10"/>
        <v>46172</v>
      </c>
      <c r="G227" s="5">
        <v>755.5</v>
      </c>
      <c r="H227" s="5">
        <v>755.5</v>
      </c>
      <c r="I227" s="4" t="s">
        <v>108</v>
      </c>
      <c r="J227" s="4" t="s">
        <v>20</v>
      </c>
      <c r="K227" s="4" t="s">
        <v>20</v>
      </c>
      <c r="L227" s="4" t="s">
        <v>20</v>
      </c>
      <c r="M227" s="4" t="s">
        <v>386</v>
      </c>
      <c r="N227" t="str">
        <f t="shared" ca="1" si="11"/>
        <v>Current</v>
      </c>
      <c r="O227" s="4"/>
    </row>
    <row r="228" spans="1:16" ht="15.6" x14ac:dyDescent="0.35">
      <c r="A228" s="1" t="s">
        <v>414</v>
      </c>
      <c r="B228" s="4" t="s">
        <v>265</v>
      </c>
      <c r="C228" s="4" t="s">
        <v>415</v>
      </c>
      <c r="D228" s="4" t="s">
        <v>416</v>
      </c>
      <c r="E228" s="4" t="s">
        <v>416</v>
      </c>
      <c r="F228" s="6">
        <f t="shared" si="10"/>
        <v>46081</v>
      </c>
      <c r="G228" s="5">
        <v>2342.21</v>
      </c>
      <c r="H228" s="5">
        <v>2342.21</v>
      </c>
      <c r="I228" s="4" t="s">
        <v>394</v>
      </c>
      <c r="J228" s="4" t="s">
        <v>20</v>
      </c>
      <c r="K228" s="4" t="s">
        <v>20</v>
      </c>
      <c r="L228" s="4" t="s">
        <v>20</v>
      </c>
      <c r="M228" s="4" t="s">
        <v>417</v>
      </c>
      <c r="N228" t="str">
        <f t="shared" ca="1" si="11"/>
        <v>Overdue</v>
      </c>
      <c r="O228" s="4"/>
    </row>
    <row r="229" spans="1:16" ht="15.6" x14ac:dyDescent="0.35">
      <c r="A229" s="1" t="s">
        <v>414</v>
      </c>
      <c r="B229" s="4" t="s">
        <v>265</v>
      </c>
      <c r="C229" s="4" t="s">
        <v>418</v>
      </c>
      <c r="D229" s="4" t="s">
        <v>188</v>
      </c>
      <c r="E229" s="4" t="s">
        <v>188</v>
      </c>
      <c r="F229" s="6">
        <f t="shared" si="10"/>
        <v>46112</v>
      </c>
      <c r="G229" s="5">
        <v>3436.43</v>
      </c>
      <c r="H229" s="5">
        <v>3436.43</v>
      </c>
      <c r="I229" s="4" t="s">
        <v>394</v>
      </c>
      <c r="J229" s="4" t="s">
        <v>20</v>
      </c>
      <c r="K229" s="4" t="s">
        <v>20</v>
      </c>
      <c r="L229" s="4" t="s">
        <v>20</v>
      </c>
      <c r="M229" s="4" t="s">
        <v>419</v>
      </c>
      <c r="N229" t="str">
        <f t="shared" ca="1" si="11"/>
        <v>Overdue</v>
      </c>
      <c r="O229" s="4"/>
      <c r="P229" s="7"/>
    </row>
    <row r="230" spans="1:16" ht="15.6" x14ac:dyDescent="0.35">
      <c r="A230" s="1" t="s">
        <v>414</v>
      </c>
      <c r="B230" s="4" t="s">
        <v>265</v>
      </c>
      <c r="C230" s="4" t="s">
        <v>420</v>
      </c>
      <c r="D230" s="4" t="s">
        <v>421</v>
      </c>
      <c r="E230" s="4" t="s">
        <v>421</v>
      </c>
      <c r="F230" s="6">
        <f t="shared" si="10"/>
        <v>46053</v>
      </c>
      <c r="G230" s="5">
        <v>20250.95</v>
      </c>
      <c r="H230" s="5">
        <v>250.95</v>
      </c>
      <c r="I230" s="4" t="s">
        <v>394</v>
      </c>
      <c r="J230" s="4" t="s">
        <v>20</v>
      </c>
      <c r="K230" s="4" t="s">
        <v>20</v>
      </c>
      <c r="L230" s="4" t="s">
        <v>20</v>
      </c>
      <c r="M230" s="4" t="s">
        <v>422</v>
      </c>
      <c r="N230" t="str">
        <f t="shared" ca="1" si="11"/>
        <v>Overdue</v>
      </c>
      <c r="O230" s="4"/>
      <c r="P230" s="7"/>
    </row>
    <row r="231" spans="1:16" ht="15.6" x14ac:dyDescent="0.35">
      <c r="A231" s="1" t="s">
        <v>414</v>
      </c>
      <c r="B231" s="4" t="s">
        <v>265</v>
      </c>
      <c r="C231" s="4" t="s">
        <v>423</v>
      </c>
      <c r="D231" s="4" t="s">
        <v>29</v>
      </c>
      <c r="E231" s="4" t="s">
        <v>29</v>
      </c>
      <c r="F231" s="6">
        <f t="shared" si="10"/>
        <v>46142</v>
      </c>
      <c r="G231" s="5">
        <v>4653.55</v>
      </c>
      <c r="H231" s="5">
        <v>4653.55</v>
      </c>
      <c r="I231" s="4" t="s">
        <v>394</v>
      </c>
      <c r="J231" s="4" t="s">
        <v>20</v>
      </c>
      <c r="K231" s="4" t="s">
        <v>20</v>
      </c>
      <c r="L231" s="4" t="s">
        <v>20</v>
      </c>
      <c r="M231" s="4" t="s">
        <v>419</v>
      </c>
      <c r="N231" t="str">
        <f t="shared" ca="1" si="11"/>
        <v>Overdue</v>
      </c>
      <c r="O231" s="4"/>
      <c r="P231" s="4"/>
    </row>
    <row r="232" spans="1:16" ht="21.6" x14ac:dyDescent="0.35">
      <c r="A232" s="1" t="s">
        <v>274</v>
      </c>
      <c r="B232" s="4" t="s">
        <v>265</v>
      </c>
      <c r="C232" s="4" t="s">
        <v>275</v>
      </c>
      <c r="D232" s="4" t="s">
        <v>64</v>
      </c>
      <c r="E232" s="4" t="s">
        <v>55</v>
      </c>
      <c r="F232" s="6">
        <f t="shared" si="10"/>
        <v>46171</v>
      </c>
      <c r="G232" s="5">
        <v>3538.77</v>
      </c>
      <c r="H232" s="5">
        <v>3538.77</v>
      </c>
      <c r="I232" s="4" t="s">
        <v>17</v>
      </c>
      <c r="J232" s="4" t="s">
        <v>250</v>
      </c>
      <c r="K232" s="4" t="s">
        <v>54</v>
      </c>
      <c r="L232" s="4" t="s">
        <v>20</v>
      </c>
      <c r="M232" s="4" t="s">
        <v>276</v>
      </c>
      <c r="N232" t="str">
        <f t="shared" ca="1" si="11"/>
        <v>Current</v>
      </c>
      <c r="O232" s="4"/>
    </row>
    <row r="233" spans="1:16" ht="15.6" x14ac:dyDescent="0.35">
      <c r="A233" s="1" t="s">
        <v>711</v>
      </c>
      <c r="B233" s="4" t="s">
        <v>265</v>
      </c>
      <c r="C233" s="4" t="s">
        <v>712</v>
      </c>
      <c r="D233" s="4" t="s">
        <v>713</v>
      </c>
      <c r="E233" s="4" t="s">
        <v>15</v>
      </c>
      <c r="F233" s="6">
        <f t="shared" si="10"/>
        <v>46139</v>
      </c>
      <c r="G233" s="5">
        <v>12077.44</v>
      </c>
      <c r="H233" s="5">
        <v>12077.44</v>
      </c>
      <c r="I233" s="4" t="s">
        <v>17</v>
      </c>
      <c r="J233" s="4" t="s">
        <v>20</v>
      </c>
      <c r="K233" s="4" t="s">
        <v>20</v>
      </c>
      <c r="L233" s="4" t="s">
        <v>20</v>
      </c>
      <c r="M233" s="4" t="s">
        <v>714</v>
      </c>
      <c r="N233" t="str">
        <f t="shared" ca="1" si="11"/>
        <v>Overdue</v>
      </c>
      <c r="O233" s="7"/>
      <c r="P233" t="s">
        <v>715</v>
      </c>
    </row>
    <row r="234" spans="1:16" ht="15.6" x14ac:dyDescent="0.35">
      <c r="A234" s="1" t="s">
        <v>277</v>
      </c>
      <c r="B234" s="4" t="s">
        <v>265</v>
      </c>
      <c r="C234" s="4" t="s">
        <v>278</v>
      </c>
      <c r="D234" s="4" t="s">
        <v>69</v>
      </c>
      <c r="E234" s="4" t="s">
        <v>69</v>
      </c>
      <c r="F234" s="6">
        <f t="shared" si="10"/>
        <v>46161</v>
      </c>
      <c r="G234" s="5">
        <v>223.43</v>
      </c>
      <c r="H234" s="5">
        <v>223.43</v>
      </c>
      <c r="I234" s="4" t="s">
        <v>17</v>
      </c>
      <c r="J234" s="4" t="s">
        <v>20</v>
      </c>
      <c r="K234" s="4" t="s">
        <v>20</v>
      </c>
      <c r="L234" s="4" t="s">
        <v>149</v>
      </c>
      <c r="M234" s="4" t="s">
        <v>279</v>
      </c>
      <c r="N234" t="str">
        <f t="shared" ca="1" si="11"/>
        <v>Overdue</v>
      </c>
    </row>
    <row r="235" spans="1:16" ht="31.5" x14ac:dyDescent="0.35">
      <c r="A235" s="1" t="s">
        <v>280</v>
      </c>
      <c r="B235" s="4" t="s">
        <v>281</v>
      </c>
      <c r="C235" s="4" t="s">
        <v>282</v>
      </c>
      <c r="D235" s="4" t="s">
        <v>29</v>
      </c>
      <c r="E235" s="4" t="s">
        <v>54</v>
      </c>
      <c r="F235" s="6">
        <f t="shared" si="10"/>
        <v>46157</v>
      </c>
      <c r="G235" s="5">
        <v>3850</v>
      </c>
      <c r="H235" s="5">
        <v>3850</v>
      </c>
      <c r="I235" s="4" t="s">
        <v>17</v>
      </c>
      <c r="J235" s="4" t="s">
        <v>18</v>
      </c>
      <c r="K235" s="4" t="s">
        <v>283</v>
      </c>
      <c r="L235" s="4" t="s">
        <v>176</v>
      </c>
      <c r="M235" s="4" t="s">
        <v>284</v>
      </c>
      <c r="N235" t="str">
        <f t="shared" ca="1" si="11"/>
        <v>Overdue</v>
      </c>
      <c r="O235" s="4"/>
    </row>
    <row r="236" spans="1:16" ht="21.6" x14ac:dyDescent="0.35">
      <c r="A236" s="1" t="s">
        <v>716</v>
      </c>
      <c r="B236" s="4" t="s">
        <v>265</v>
      </c>
      <c r="C236" s="4" t="s">
        <v>717</v>
      </c>
      <c r="D236" s="4" t="s">
        <v>718</v>
      </c>
      <c r="E236" s="4" t="s">
        <v>719</v>
      </c>
      <c r="F236" s="6">
        <f t="shared" si="10"/>
        <v>46090</v>
      </c>
      <c r="G236" s="5">
        <v>10000</v>
      </c>
      <c r="H236" s="5">
        <v>10000</v>
      </c>
      <c r="I236" s="4" t="s">
        <v>17</v>
      </c>
      <c r="J236" s="4" t="s">
        <v>20</v>
      </c>
      <c r="K236" s="4" t="s">
        <v>20</v>
      </c>
      <c r="L236" s="4" t="s">
        <v>20</v>
      </c>
      <c r="M236" s="4" t="s">
        <v>720</v>
      </c>
      <c r="N236" t="str">
        <f t="shared" ca="1" si="11"/>
        <v>Overdue</v>
      </c>
      <c r="P236" t="s">
        <v>715</v>
      </c>
    </row>
    <row r="237" spans="1:16" ht="15.6" x14ac:dyDescent="0.35">
      <c r="A237" s="1" t="s">
        <v>285</v>
      </c>
      <c r="B237" s="4" t="s">
        <v>281</v>
      </c>
      <c r="C237" s="4" t="s">
        <v>286</v>
      </c>
      <c r="D237" s="4" t="s">
        <v>29</v>
      </c>
      <c r="E237" s="4" t="s">
        <v>136</v>
      </c>
      <c r="F237" s="6">
        <f t="shared" si="10"/>
        <v>46172</v>
      </c>
      <c r="G237" s="5">
        <v>627</v>
      </c>
      <c r="H237" s="5">
        <v>627</v>
      </c>
      <c r="I237" s="4" t="s">
        <v>17</v>
      </c>
      <c r="J237" s="4" t="s">
        <v>185</v>
      </c>
      <c r="K237" s="4" t="s">
        <v>20</v>
      </c>
      <c r="L237" s="4" t="s">
        <v>29</v>
      </c>
      <c r="M237" s="4" t="s">
        <v>287</v>
      </c>
      <c r="N237" t="str">
        <f t="shared" ca="1" si="11"/>
        <v>Current</v>
      </c>
      <c r="O237" s="4"/>
    </row>
    <row r="238" spans="1:16" ht="15.6" x14ac:dyDescent="0.35">
      <c r="A238" s="1" t="s">
        <v>288</v>
      </c>
      <c r="B238" s="4" t="s">
        <v>281</v>
      </c>
      <c r="C238" s="4" t="s">
        <v>289</v>
      </c>
      <c r="D238" s="4" t="s">
        <v>290</v>
      </c>
      <c r="E238" s="4" t="s">
        <v>237</v>
      </c>
      <c r="F238" s="6">
        <f t="shared" si="10"/>
        <v>46173</v>
      </c>
      <c r="G238" s="5">
        <v>902.5</v>
      </c>
      <c r="H238" s="5">
        <v>902.5</v>
      </c>
      <c r="I238" s="4" t="s">
        <v>17</v>
      </c>
      <c r="J238" s="4" t="s">
        <v>18</v>
      </c>
      <c r="K238" s="4" t="s">
        <v>291</v>
      </c>
      <c r="L238" s="4" t="s">
        <v>290</v>
      </c>
      <c r="M238" s="4" t="s">
        <v>292</v>
      </c>
      <c r="N238" t="str">
        <f t="shared" ca="1" si="11"/>
        <v>Current</v>
      </c>
    </row>
    <row r="239" spans="1:16" ht="15.6" x14ac:dyDescent="0.35">
      <c r="A239" s="1" t="s">
        <v>348</v>
      </c>
      <c r="B239" s="4" t="s">
        <v>265</v>
      </c>
      <c r="C239" s="4" t="s">
        <v>721</v>
      </c>
      <c r="D239" s="4" t="s">
        <v>96</v>
      </c>
      <c r="E239" s="4" t="s">
        <v>544</v>
      </c>
      <c r="F239" s="6">
        <f t="shared" si="10"/>
        <v>46177</v>
      </c>
      <c r="G239" s="5">
        <v>984.46</v>
      </c>
      <c r="H239" s="5">
        <v>984.46</v>
      </c>
      <c r="I239" s="4" t="s">
        <v>108</v>
      </c>
      <c r="J239" s="4" t="s">
        <v>20</v>
      </c>
      <c r="K239" s="4" t="s">
        <v>20</v>
      </c>
      <c r="L239" s="4" t="s">
        <v>20</v>
      </c>
      <c r="M239" s="4" t="s">
        <v>722</v>
      </c>
      <c r="N239" t="str">
        <f t="shared" ca="1" si="11"/>
        <v>Current</v>
      </c>
    </row>
    <row r="240" spans="1:16" ht="15.6" x14ac:dyDescent="0.35">
      <c r="A240" s="1" t="s">
        <v>293</v>
      </c>
      <c r="B240" s="4" t="s">
        <v>281</v>
      </c>
      <c r="C240" s="4" t="s">
        <v>294</v>
      </c>
      <c r="D240" s="4" t="s">
        <v>295</v>
      </c>
      <c r="E240" s="4" t="s">
        <v>237</v>
      </c>
      <c r="F240" s="6">
        <f t="shared" si="10"/>
        <v>46173</v>
      </c>
      <c r="G240" s="5">
        <v>67.28</v>
      </c>
      <c r="H240" s="5">
        <v>67.28</v>
      </c>
      <c r="I240" s="4" t="s">
        <v>17</v>
      </c>
      <c r="J240" s="4" t="s">
        <v>185</v>
      </c>
      <c r="K240" s="4" t="s">
        <v>20</v>
      </c>
      <c r="L240" s="4" t="s">
        <v>15</v>
      </c>
      <c r="M240" s="4" t="s">
        <v>296</v>
      </c>
      <c r="N240" t="str">
        <f t="shared" ca="1" si="11"/>
        <v>Current</v>
      </c>
      <c r="O240" s="4"/>
    </row>
    <row r="241" spans="1:17" ht="15.6" x14ac:dyDescent="0.35">
      <c r="A241" s="1" t="s">
        <v>285</v>
      </c>
      <c r="B241" s="4" t="s">
        <v>281</v>
      </c>
      <c r="C241" s="4" t="s">
        <v>723</v>
      </c>
      <c r="D241" s="4" t="s">
        <v>31</v>
      </c>
      <c r="E241" s="4" t="s">
        <v>724</v>
      </c>
      <c r="F241" s="6">
        <f t="shared" si="10"/>
        <v>46180</v>
      </c>
      <c r="G241" s="5">
        <v>1045</v>
      </c>
      <c r="H241" s="5">
        <v>1045</v>
      </c>
      <c r="I241" s="4" t="s">
        <v>17</v>
      </c>
      <c r="J241" s="4" t="s">
        <v>185</v>
      </c>
      <c r="K241" s="4" t="s">
        <v>20</v>
      </c>
      <c r="L241" s="4" t="s">
        <v>16</v>
      </c>
      <c r="M241" s="4" t="s">
        <v>725</v>
      </c>
      <c r="N241" t="str">
        <f t="shared" ca="1" si="11"/>
        <v>Not Due</v>
      </c>
      <c r="O241" s="7"/>
    </row>
    <row r="242" spans="1:17" ht="15.6" x14ac:dyDescent="0.35">
      <c r="A242" s="1" t="s">
        <v>424</v>
      </c>
      <c r="B242" s="4" t="s">
        <v>281</v>
      </c>
      <c r="C242" s="4" t="s">
        <v>425</v>
      </c>
      <c r="D242" s="4" t="s">
        <v>401</v>
      </c>
      <c r="E242" s="4" t="s">
        <v>184</v>
      </c>
      <c r="F242" s="6">
        <f t="shared" si="10"/>
        <v>46130</v>
      </c>
      <c r="G242" s="5">
        <v>3800</v>
      </c>
      <c r="H242" s="5">
        <v>3800</v>
      </c>
      <c r="I242" s="4" t="s">
        <v>91</v>
      </c>
      <c r="J242" s="4" t="s">
        <v>20</v>
      </c>
      <c r="K242" s="4" t="s">
        <v>20</v>
      </c>
      <c r="L242" s="4" t="s">
        <v>426</v>
      </c>
      <c r="M242" s="4" t="s">
        <v>427</v>
      </c>
      <c r="N242" t="str">
        <f t="shared" ca="1" si="11"/>
        <v>Overdue</v>
      </c>
      <c r="Q242" t="s">
        <v>480</v>
      </c>
    </row>
    <row r="243" spans="1:17" ht="15.6" x14ac:dyDescent="0.35">
      <c r="A243" s="1" t="s">
        <v>409</v>
      </c>
      <c r="B243" s="4" t="s">
        <v>281</v>
      </c>
      <c r="C243" s="4" t="s">
        <v>428</v>
      </c>
      <c r="D243" s="4" t="s">
        <v>213</v>
      </c>
      <c r="E243" s="4" t="s">
        <v>213</v>
      </c>
      <c r="F243" s="6">
        <f t="shared" si="10"/>
        <v>46083</v>
      </c>
      <c r="G243" s="5">
        <v>9</v>
      </c>
      <c r="H243" s="5">
        <v>9</v>
      </c>
      <c r="I243" s="4" t="s">
        <v>91</v>
      </c>
      <c r="J243" s="4" t="s">
        <v>20</v>
      </c>
      <c r="K243" s="4" t="s">
        <v>20</v>
      </c>
      <c r="L243" s="4" t="s">
        <v>20</v>
      </c>
      <c r="M243" s="4" t="s">
        <v>429</v>
      </c>
      <c r="N243" t="str">
        <f t="shared" ca="1" si="11"/>
        <v>Overdue</v>
      </c>
    </row>
    <row r="244" spans="1:17" ht="21.6" x14ac:dyDescent="0.35">
      <c r="A244" s="1" t="s">
        <v>293</v>
      </c>
      <c r="B244" s="4" t="s">
        <v>281</v>
      </c>
      <c r="C244" s="4" t="s">
        <v>726</v>
      </c>
      <c r="D244" s="4" t="s">
        <v>36</v>
      </c>
      <c r="E244" s="4" t="s">
        <v>546</v>
      </c>
      <c r="F244" s="6">
        <f t="shared" si="10"/>
        <v>46184</v>
      </c>
      <c r="G244" s="5">
        <v>159.77000000000001</v>
      </c>
      <c r="H244" s="5">
        <v>159.77000000000001</v>
      </c>
      <c r="I244" s="4" t="s">
        <v>17</v>
      </c>
      <c r="J244" s="4" t="s">
        <v>18</v>
      </c>
      <c r="K244" s="4" t="s">
        <v>68</v>
      </c>
      <c r="L244" s="4" t="s">
        <v>20</v>
      </c>
      <c r="M244" s="4" t="s">
        <v>727</v>
      </c>
      <c r="N244" t="str">
        <f t="shared" ca="1" si="11"/>
        <v>Not Due</v>
      </c>
      <c r="O244" s="4"/>
    </row>
    <row r="245" spans="1:17" ht="15.6" x14ac:dyDescent="0.35">
      <c r="A245" s="1" t="s">
        <v>297</v>
      </c>
      <c r="B245" s="4" t="s">
        <v>281</v>
      </c>
      <c r="C245" s="4" t="s">
        <v>298</v>
      </c>
      <c r="D245" s="4" t="s">
        <v>29</v>
      </c>
      <c r="E245" s="4" t="s">
        <v>136</v>
      </c>
      <c r="F245" s="6">
        <f t="shared" si="10"/>
        <v>46172</v>
      </c>
      <c r="G245" s="5">
        <v>1849.9</v>
      </c>
      <c r="H245" s="5">
        <v>1849.9</v>
      </c>
      <c r="I245" s="4" t="s">
        <v>17</v>
      </c>
      <c r="J245" s="4" t="s">
        <v>18</v>
      </c>
      <c r="K245" s="4" t="s">
        <v>299</v>
      </c>
      <c r="L245" s="4" t="s">
        <v>36</v>
      </c>
      <c r="M245" s="4" t="s">
        <v>300</v>
      </c>
      <c r="N245" t="str">
        <f t="shared" ca="1" si="11"/>
        <v>Current</v>
      </c>
    </row>
    <row r="246" spans="1:17" ht="15.6" x14ac:dyDescent="0.35">
      <c r="A246" s="1" t="s">
        <v>297</v>
      </c>
      <c r="B246" s="4" t="s">
        <v>281</v>
      </c>
      <c r="C246" s="4" t="s">
        <v>301</v>
      </c>
      <c r="D246" s="4" t="s">
        <v>149</v>
      </c>
      <c r="E246" s="4" t="s">
        <v>149</v>
      </c>
      <c r="F246" s="6">
        <f t="shared" si="10"/>
        <v>46127</v>
      </c>
      <c r="G246" s="5">
        <v>12.71</v>
      </c>
      <c r="H246" s="5">
        <v>12.71</v>
      </c>
      <c r="I246" s="4" t="s">
        <v>17</v>
      </c>
      <c r="J246" s="4" t="s">
        <v>20</v>
      </c>
      <c r="K246" s="4" t="s">
        <v>20</v>
      </c>
      <c r="L246" s="4" t="s">
        <v>20</v>
      </c>
      <c r="M246" s="4" t="s">
        <v>302</v>
      </c>
      <c r="N246" t="str">
        <f t="shared" ca="1" si="11"/>
        <v>Overdue</v>
      </c>
      <c r="O246" s="7"/>
    </row>
    <row r="247" spans="1:17" ht="15.6" x14ac:dyDescent="0.35">
      <c r="A247" s="1" t="s">
        <v>297</v>
      </c>
      <c r="B247" s="4" t="s">
        <v>281</v>
      </c>
      <c r="C247" s="4" t="s">
        <v>303</v>
      </c>
      <c r="D247" s="4" t="s">
        <v>304</v>
      </c>
      <c r="E247" s="4" t="s">
        <v>305</v>
      </c>
      <c r="F247" s="6">
        <f t="shared" si="10"/>
        <v>46158</v>
      </c>
      <c r="G247" s="5">
        <v>2188</v>
      </c>
      <c r="H247" s="5">
        <v>2188</v>
      </c>
      <c r="I247" s="4" t="s">
        <v>17</v>
      </c>
      <c r="J247" s="4" t="s">
        <v>18</v>
      </c>
      <c r="K247" s="4" t="s">
        <v>306</v>
      </c>
      <c r="L247" s="4" t="s">
        <v>304</v>
      </c>
      <c r="M247" s="4" t="s">
        <v>307</v>
      </c>
      <c r="N247" t="str">
        <f t="shared" ca="1" si="11"/>
        <v>Overdue</v>
      </c>
      <c r="O247" s="4"/>
    </row>
    <row r="248" spans="1:17" ht="21.6" x14ac:dyDescent="0.35">
      <c r="A248" s="1" t="s">
        <v>409</v>
      </c>
      <c r="B248" s="4" t="s">
        <v>281</v>
      </c>
      <c r="C248" s="4" t="s">
        <v>430</v>
      </c>
      <c r="D248" s="4" t="s">
        <v>125</v>
      </c>
      <c r="E248" s="4" t="s">
        <v>125</v>
      </c>
      <c r="F248" s="6">
        <f t="shared" si="10"/>
        <v>46162</v>
      </c>
      <c r="G248" s="5">
        <v>144</v>
      </c>
      <c r="H248" s="5">
        <v>144</v>
      </c>
      <c r="I248" s="4" t="s">
        <v>91</v>
      </c>
      <c r="J248" s="4" t="s">
        <v>18</v>
      </c>
      <c r="K248" s="4" t="s">
        <v>69</v>
      </c>
      <c r="L248" s="4" t="s">
        <v>20</v>
      </c>
      <c r="M248" s="4" t="s">
        <v>431</v>
      </c>
      <c r="N248" t="str">
        <f t="shared" ca="1" si="11"/>
        <v>Overdue</v>
      </c>
      <c r="O248" s="4"/>
    </row>
    <row r="249" spans="1:17" ht="15.6" x14ac:dyDescent="0.35">
      <c r="A249" s="1" t="s">
        <v>432</v>
      </c>
      <c r="B249" s="4" t="s">
        <v>281</v>
      </c>
      <c r="C249" s="4" t="s">
        <v>20</v>
      </c>
      <c r="D249" s="4" t="s">
        <v>30</v>
      </c>
      <c r="E249" s="4" t="s">
        <v>30</v>
      </c>
      <c r="F249" s="6">
        <f t="shared" si="10"/>
        <v>46156</v>
      </c>
      <c r="G249" s="5">
        <v>4500</v>
      </c>
      <c r="H249" s="5">
        <v>4500</v>
      </c>
      <c r="I249" s="4" t="s">
        <v>91</v>
      </c>
      <c r="J249" s="4" t="s">
        <v>20</v>
      </c>
      <c r="K249" s="4" t="s">
        <v>20</v>
      </c>
      <c r="L249" s="4" t="s">
        <v>20</v>
      </c>
      <c r="M249" s="4" t="s">
        <v>433</v>
      </c>
      <c r="N249" t="str">
        <f t="shared" ca="1" si="11"/>
        <v>Overdue</v>
      </c>
    </row>
    <row r="250" spans="1:17" ht="81.599999999999994" x14ac:dyDescent="0.35">
      <c r="A250" s="1" t="s">
        <v>309</v>
      </c>
      <c r="B250" s="4" t="s">
        <v>310</v>
      </c>
      <c r="C250" s="4" t="s">
        <v>311</v>
      </c>
      <c r="D250" s="4" t="s">
        <v>64</v>
      </c>
      <c r="E250" s="4" t="s">
        <v>64</v>
      </c>
      <c r="F250" s="6">
        <f t="shared" si="10"/>
        <v>46146</v>
      </c>
      <c r="G250" s="5">
        <v>5000</v>
      </c>
      <c r="H250" s="5">
        <v>5000</v>
      </c>
      <c r="I250" s="4" t="s">
        <v>17</v>
      </c>
      <c r="J250" s="4" t="s">
        <v>20</v>
      </c>
      <c r="K250" s="4" t="s">
        <v>20</v>
      </c>
      <c r="L250" s="4" t="s">
        <v>64</v>
      </c>
      <c r="M250" s="4" t="s">
        <v>312</v>
      </c>
      <c r="N250" t="str">
        <f t="shared" ca="1" si="11"/>
        <v>Overdue</v>
      </c>
      <c r="O250" s="4"/>
    </row>
    <row r="251" spans="1:17" ht="21.6" x14ac:dyDescent="0.35">
      <c r="A251" s="1" t="s">
        <v>728</v>
      </c>
      <c r="B251" s="4" t="s">
        <v>310</v>
      </c>
      <c r="C251" s="4" t="s">
        <v>20</v>
      </c>
      <c r="D251" s="4" t="s">
        <v>729</v>
      </c>
      <c r="E251" s="4" t="s">
        <v>237</v>
      </c>
      <c r="F251" s="6">
        <f t="shared" si="10"/>
        <v>46173</v>
      </c>
      <c r="G251" s="5">
        <v>13800</v>
      </c>
      <c r="H251" s="5">
        <v>13800</v>
      </c>
      <c r="I251" s="4" t="s">
        <v>17</v>
      </c>
      <c r="J251" s="4" t="s">
        <v>20</v>
      </c>
      <c r="K251" s="4" t="s">
        <v>20</v>
      </c>
      <c r="L251" s="4" t="s">
        <v>20</v>
      </c>
      <c r="M251" s="4" t="s">
        <v>730</v>
      </c>
      <c r="N251" t="str">
        <f t="shared" ca="1" si="11"/>
        <v>Current</v>
      </c>
      <c r="O251" s="4" t="s">
        <v>731</v>
      </c>
    </row>
    <row r="252" spans="1:17" ht="15.6" x14ac:dyDescent="0.35">
      <c r="A252" s="1" t="s">
        <v>732</v>
      </c>
      <c r="B252" s="4" t="s">
        <v>281</v>
      </c>
      <c r="C252" s="4" t="s">
        <v>733</v>
      </c>
      <c r="D252" s="4" t="s">
        <v>36</v>
      </c>
      <c r="E252" s="4" t="s">
        <v>546</v>
      </c>
      <c r="F252" s="6">
        <f t="shared" si="10"/>
        <v>46184</v>
      </c>
      <c r="G252" s="5">
        <v>1480</v>
      </c>
      <c r="H252" s="5">
        <v>1480</v>
      </c>
      <c r="I252" s="4" t="s">
        <v>17</v>
      </c>
      <c r="J252" s="4" t="s">
        <v>18</v>
      </c>
      <c r="K252" s="4" t="s">
        <v>31</v>
      </c>
      <c r="L252" s="4" t="s">
        <v>41</v>
      </c>
      <c r="M252" s="4" t="s">
        <v>734</v>
      </c>
      <c r="N252" t="str">
        <f t="shared" ca="1" si="11"/>
        <v>Not Due</v>
      </c>
    </row>
    <row r="253" spans="1:17" ht="21.6" x14ac:dyDescent="0.35">
      <c r="A253" s="1" t="s">
        <v>728</v>
      </c>
      <c r="B253" s="4" t="s">
        <v>310</v>
      </c>
      <c r="C253" s="4" t="s">
        <v>20</v>
      </c>
      <c r="D253" s="4" t="s">
        <v>416</v>
      </c>
      <c r="E253" s="4" t="s">
        <v>237</v>
      </c>
      <c r="F253" s="6">
        <f t="shared" si="10"/>
        <v>46173</v>
      </c>
      <c r="G253" s="5">
        <v>55412</v>
      </c>
      <c r="H253" s="5">
        <v>55412</v>
      </c>
      <c r="I253" s="4" t="s">
        <v>17</v>
      </c>
      <c r="J253" s="4" t="s">
        <v>20</v>
      </c>
      <c r="K253" s="4" t="s">
        <v>20</v>
      </c>
      <c r="L253" s="4" t="s">
        <v>20</v>
      </c>
      <c r="M253" s="4" t="s">
        <v>735</v>
      </c>
      <c r="N253" t="str">
        <f t="shared" ca="1" si="11"/>
        <v>Current</v>
      </c>
      <c r="O253" s="4" t="s">
        <v>731</v>
      </c>
    </row>
    <row r="254" spans="1:17" ht="21.6" x14ac:dyDescent="0.35">
      <c r="A254" s="1" t="s">
        <v>728</v>
      </c>
      <c r="B254" s="4" t="s">
        <v>310</v>
      </c>
      <c r="C254" s="4" t="s">
        <v>736</v>
      </c>
      <c r="D254" s="4" t="s">
        <v>306</v>
      </c>
      <c r="E254" s="4" t="s">
        <v>237</v>
      </c>
      <c r="F254" s="6">
        <f t="shared" si="10"/>
        <v>46173</v>
      </c>
      <c r="G254" s="5">
        <v>24728</v>
      </c>
      <c r="H254" s="5">
        <v>24728</v>
      </c>
      <c r="I254" s="4" t="s">
        <v>17</v>
      </c>
      <c r="J254" s="4" t="s">
        <v>20</v>
      </c>
      <c r="K254" s="4" t="s">
        <v>20</v>
      </c>
      <c r="L254" s="4" t="s">
        <v>20</v>
      </c>
      <c r="M254" s="4" t="s">
        <v>737</v>
      </c>
      <c r="N254" t="str">
        <f t="shared" ca="1" si="11"/>
        <v>Current</v>
      </c>
      <c r="O254" s="4" t="s">
        <v>731</v>
      </c>
    </row>
    <row r="255" spans="1:17" ht="21.6" x14ac:dyDescent="0.35">
      <c r="A255" s="1" t="s">
        <v>728</v>
      </c>
      <c r="B255" s="4" t="s">
        <v>310</v>
      </c>
      <c r="C255" s="4" t="s">
        <v>20</v>
      </c>
      <c r="D255" s="4" t="s">
        <v>216</v>
      </c>
      <c r="E255" s="4" t="s">
        <v>237</v>
      </c>
      <c r="F255" s="6">
        <f t="shared" si="10"/>
        <v>46173</v>
      </c>
      <c r="G255" s="5">
        <v>24604</v>
      </c>
      <c r="H255" s="5">
        <v>24604</v>
      </c>
      <c r="I255" s="4" t="s">
        <v>17</v>
      </c>
      <c r="J255" s="4" t="s">
        <v>20</v>
      </c>
      <c r="K255" s="4" t="s">
        <v>20</v>
      </c>
      <c r="L255" s="4" t="s">
        <v>20</v>
      </c>
      <c r="M255" s="4" t="s">
        <v>738</v>
      </c>
      <c r="N255" t="str">
        <f t="shared" ca="1" si="11"/>
        <v>Current</v>
      </c>
      <c r="O255" s="4" t="s">
        <v>731</v>
      </c>
    </row>
    <row r="256" spans="1:17" ht="21.6" x14ac:dyDescent="0.35">
      <c r="A256" s="1" t="s">
        <v>728</v>
      </c>
      <c r="B256" s="4" t="s">
        <v>310</v>
      </c>
      <c r="C256" s="4" t="s">
        <v>20</v>
      </c>
      <c r="D256" s="4" t="s">
        <v>416</v>
      </c>
      <c r="E256" s="4" t="s">
        <v>237</v>
      </c>
      <c r="F256" s="6">
        <f t="shared" ref="F256:F280" si="12">+E256*1</f>
        <v>46173</v>
      </c>
      <c r="G256" s="5">
        <v>31300</v>
      </c>
      <c r="H256" s="5">
        <v>31300</v>
      </c>
      <c r="I256" s="4" t="s">
        <v>17</v>
      </c>
      <c r="J256" s="4" t="s">
        <v>20</v>
      </c>
      <c r="K256" s="4" t="s">
        <v>20</v>
      </c>
      <c r="L256" s="4" t="s">
        <v>20</v>
      </c>
      <c r="M256" s="4" t="s">
        <v>739</v>
      </c>
      <c r="N256" t="str">
        <f t="shared" ref="N256:N280" ca="1" si="13">IF(F256&lt;TODAY(),"Overdue",IF(F256&lt;=TODAY()+14,"Current","Not Due"))</f>
        <v>Current</v>
      </c>
      <c r="O256" s="4" t="s">
        <v>731</v>
      </c>
    </row>
    <row r="257" spans="1:17" ht="21.6" x14ac:dyDescent="0.35">
      <c r="A257" s="1" t="s">
        <v>728</v>
      </c>
      <c r="B257" s="4" t="s">
        <v>310</v>
      </c>
      <c r="C257" s="4" t="s">
        <v>20</v>
      </c>
      <c r="D257" s="4" t="s">
        <v>133</v>
      </c>
      <c r="E257" s="4" t="s">
        <v>237</v>
      </c>
      <c r="F257" s="6">
        <f t="shared" si="12"/>
        <v>46173</v>
      </c>
      <c r="G257" s="5">
        <v>6640</v>
      </c>
      <c r="H257" s="5">
        <v>6640</v>
      </c>
      <c r="I257" s="4" t="s">
        <v>17</v>
      </c>
      <c r="J257" s="4" t="s">
        <v>20</v>
      </c>
      <c r="K257" s="4" t="s">
        <v>20</v>
      </c>
      <c r="L257" s="4" t="s">
        <v>20</v>
      </c>
      <c r="M257" s="4" t="s">
        <v>740</v>
      </c>
      <c r="N257" t="str">
        <f t="shared" ca="1" si="13"/>
        <v>Current</v>
      </c>
      <c r="O257" s="4" t="s">
        <v>731</v>
      </c>
    </row>
    <row r="258" spans="1:17" ht="15.6" x14ac:dyDescent="0.35">
      <c r="A258" s="1" t="s">
        <v>728</v>
      </c>
      <c r="B258" s="4" t="s">
        <v>310</v>
      </c>
      <c r="C258" s="4" t="s">
        <v>741</v>
      </c>
      <c r="D258" s="4" t="s">
        <v>742</v>
      </c>
      <c r="E258" s="4" t="s">
        <v>237</v>
      </c>
      <c r="F258" s="6">
        <f t="shared" si="12"/>
        <v>46173</v>
      </c>
      <c r="G258" s="5">
        <v>10000</v>
      </c>
      <c r="H258" s="5">
        <v>10000</v>
      </c>
      <c r="I258" s="4" t="s">
        <v>17</v>
      </c>
      <c r="J258" s="4" t="s">
        <v>20</v>
      </c>
      <c r="K258" s="4" t="s">
        <v>20</v>
      </c>
      <c r="L258" s="4" t="s">
        <v>20</v>
      </c>
      <c r="M258" s="4" t="s">
        <v>743</v>
      </c>
      <c r="N258" t="str">
        <f t="shared" ca="1" si="13"/>
        <v>Current</v>
      </c>
      <c r="O258" s="4" t="s">
        <v>731</v>
      </c>
    </row>
    <row r="259" spans="1:17" ht="21.6" x14ac:dyDescent="0.35">
      <c r="A259" s="1" t="s">
        <v>728</v>
      </c>
      <c r="B259" s="4" t="s">
        <v>310</v>
      </c>
      <c r="C259" s="4" t="s">
        <v>744</v>
      </c>
      <c r="D259" s="4" t="s">
        <v>742</v>
      </c>
      <c r="E259" s="4" t="s">
        <v>237</v>
      </c>
      <c r="F259" s="6">
        <f t="shared" si="12"/>
        <v>46173</v>
      </c>
      <c r="G259" s="5">
        <v>4916</v>
      </c>
      <c r="H259" s="5">
        <v>4916</v>
      </c>
      <c r="I259" s="4" t="s">
        <v>17</v>
      </c>
      <c r="J259" s="4" t="s">
        <v>20</v>
      </c>
      <c r="K259" s="4" t="s">
        <v>20</v>
      </c>
      <c r="L259" s="4" t="s">
        <v>20</v>
      </c>
      <c r="M259" s="4" t="s">
        <v>745</v>
      </c>
      <c r="N259" t="str">
        <f t="shared" ca="1" si="13"/>
        <v>Current</v>
      </c>
      <c r="O259" s="4" t="s">
        <v>731</v>
      </c>
    </row>
    <row r="260" spans="1:17" ht="21.6" x14ac:dyDescent="0.35">
      <c r="A260" s="1" t="s">
        <v>728</v>
      </c>
      <c r="B260" s="4" t="s">
        <v>310</v>
      </c>
      <c r="C260" s="4" t="s">
        <v>746</v>
      </c>
      <c r="D260" s="4" t="s">
        <v>177</v>
      </c>
      <c r="E260" s="4" t="s">
        <v>237</v>
      </c>
      <c r="F260" s="6">
        <f t="shared" si="12"/>
        <v>46173</v>
      </c>
      <c r="G260" s="5">
        <v>10800</v>
      </c>
      <c r="H260" s="5">
        <v>10800</v>
      </c>
      <c r="I260" s="4" t="s">
        <v>17</v>
      </c>
      <c r="J260" s="4" t="s">
        <v>20</v>
      </c>
      <c r="K260" s="4" t="s">
        <v>20</v>
      </c>
      <c r="L260" s="4" t="s">
        <v>20</v>
      </c>
      <c r="M260" s="4" t="s">
        <v>747</v>
      </c>
      <c r="N260" t="str">
        <f t="shared" ca="1" si="13"/>
        <v>Current</v>
      </c>
      <c r="O260" s="4" t="s">
        <v>731</v>
      </c>
    </row>
    <row r="261" spans="1:17" ht="21.6" x14ac:dyDescent="0.35">
      <c r="A261" s="1" t="s">
        <v>728</v>
      </c>
      <c r="B261" s="4" t="s">
        <v>310</v>
      </c>
      <c r="C261" s="4" t="s">
        <v>748</v>
      </c>
      <c r="D261" s="4" t="s">
        <v>749</v>
      </c>
      <c r="E261" s="4" t="s">
        <v>237</v>
      </c>
      <c r="F261" s="6">
        <f t="shared" si="12"/>
        <v>46173</v>
      </c>
      <c r="G261" s="5">
        <v>35604</v>
      </c>
      <c r="H261" s="5">
        <v>35604</v>
      </c>
      <c r="I261" s="4" t="s">
        <v>17</v>
      </c>
      <c r="J261" s="4" t="s">
        <v>20</v>
      </c>
      <c r="K261" s="4" t="s">
        <v>20</v>
      </c>
      <c r="L261" s="4" t="s">
        <v>20</v>
      </c>
      <c r="M261" s="4" t="s">
        <v>750</v>
      </c>
      <c r="N261" t="str">
        <f t="shared" ca="1" si="13"/>
        <v>Current</v>
      </c>
      <c r="O261" s="4" t="s">
        <v>731</v>
      </c>
    </row>
    <row r="262" spans="1:17" ht="21.6" x14ac:dyDescent="0.35">
      <c r="A262" s="1" t="s">
        <v>728</v>
      </c>
      <c r="B262" s="4" t="s">
        <v>310</v>
      </c>
      <c r="C262" s="4" t="s">
        <v>751</v>
      </c>
      <c r="D262" s="4" t="s">
        <v>227</v>
      </c>
      <c r="E262" s="4" t="s">
        <v>237</v>
      </c>
      <c r="F262" s="6">
        <f t="shared" si="12"/>
        <v>46173</v>
      </c>
      <c r="G262" s="5">
        <v>13724</v>
      </c>
      <c r="H262" s="5">
        <v>13724</v>
      </c>
      <c r="I262" s="4" t="s">
        <v>17</v>
      </c>
      <c r="J262" s="4" t="s">
        <v>20</v>
      </c>
      <c r="K262" s="4" t="s">
        <v>20</v>
      </c>
      <c r="L262" s="4" t="s">
        <v>20</v>
      </c>
      <c r="M262" s="4" t="s">
        <v>752</v>
      </c>
      <c r="N262" t="str">
        <f t="shared" ca="1" si="13"/>
        <v>Current</v>
      </c>
      <c r="O262" s="4" t="s">
        <v>731</v>
      </c>
    </row>
    <row r="263" spans="1:17" ht="15.6" x14ac:dyDescent="0.35">
      <c r="A263" s="1" t="s">
        <v>753</v>
      </c>
      <c r="B263" s="4" t="s">
        <v>310</v>
      </c>
      <c r="C263" s="4" t="s">
        <v>20</v>
      </c>
      <c r="D263" s="4" t="s">
        <v>69</v>
      </c>
      <c r="E263" s="4" t="s">
        <v>69</v>
      </c>
      <c r="F263" s="6">
        <f t="shared" si="12"/>
        <v>46161</v>
      </c>
      <c r="G263" s="5">
        <v>5000</v>
      </c>
      <c r="H263" s="5">
        <v>5000</v>
      </c>
      <c r="I263" s="4" t="s">
        <v>91</v>
      </c>
      <c r="J263" s="4" t="s">
        <v>20</v>
      </c>
      <c r="K263" s="4" t="s">
        <v>20</v>
      </c>
      <c r="L263" s="4" t="s">
        <v>20</v>
      </c>
      <c r="M263" s="4" t="s">
        <v>754</v>
      </c>
      <c r="N263" t="str">
        <f t="shared" ca="1" si="13"/>
        <v>Overdue</v>
      </c>
      <c r="O263" s="7"/>
      <c r="Q263" t="s">
        <v>91</v>
      </c>
    </row>
    <row r="264" spans="1:17" ht="21.6" x14ac:dyDescent="0.35">
      <c r="A264" s="1" t="s">
        <v>313</v>
      </c>
      <c r="B264" s="4" t="s">
        <v>310</v>
      </c>
      <c r="C264" s="4" t="s">
        <v>314</v>
      </c>
      <c r="D264" s="4" t="s">
        <v>96</v>
      </c>
      <c r="E264" s="4" t="s">
        <v>54</v>
      </c>
      <c r="F264" s="6">
        <f t="shared" si="12"/>
        <v>46157</v>
      </c>
      <c r="G264" s="5">
        <v>10000</v>
      </c>
      <c r="H264" s="5">
        <v>10000</v>
      </c>
      <c r="I264" s="4" t="s">
        <v>17</v>
      </c>
      <c r="J264" s="4" t="s">
        <v>20</v>
      </c>
      <c r="K264" s="4" t="s">
        <v>20</v>
      </c>
      <c r="L264" s="4" t="s">
        <v>96</v>
      </c>
      <c r="M264" s="4" t="s">
        <v>315</v>
      </c>
      <c r="N264" t="str">
        <f t="shared" ca="1" si="13"/>
        <v>Overdue</v>
      </c>
    </row>
    <row r="265" spans="1:17" ht="41.45" x14ac:dyDescent="0.35">
      <c r="A265" s="1" t="s">
        <v>316</v>
      </c>
      <c r="B265" s="4" t="s">
        <v>310</v>
      </c>
      <c r="C265" s="4" t="s">
        <v>317</v>
      </c>
      <c r="D265" s="4" t="s">
        <v>213</v>
      </c>
      <c r="E265" s="4" t="s">
        <v>213</v>
      </c>
      <c r="F265" s="6">
        <f t="shared" si="12"/>
        <v>46083</v>
      </c>
      <c r="G265" s="5">
        <v>2500</v>
      </c>
      <c r="H265" s="5">
        <v>2500</v>
      </c>
      <c r="I265" s="4" t="s">
        <v>17</v>
      </c>
      <c r="J265" s="4" t="s">
        <v>318</v>
      </c>
      <c r="K265" s="4" t="s">
        <v>20</v>
      </c>
      <c r="L265" s="4" t="s">
        <v>20</v>
      </c>
      <c r="M265" s="4" t="s">
        <v>319</v>
      </c>
      <c r="N265" t="str">
        <f t="shared" ca="1" si="13"/>
        <v>Overdue</v>
      </c>
      <c r="O265" s="7"/>
    </row>
    <row r="266" spans="1:17" ht="141.6" x14ac:dyDescent="0.35">
      <c r="A266" s="1" t="s">
        <v>320</v>
      </c>
      <c r="B266" s="4" t="s">
        <v>310</v>
      </c>
      <c r="C266" s="4" t="s">
        <v>321</v>
      </c>
      <c r="D266" s="4" t="s">
        <v>133</v>
      </c>
      <c r="E266" s="4" t="s">
        <v>15</v>
      </c>
      <c r="F266" s="6">
        <f t="shared" si="12"/>
        <v>46139</v>
      </c>
      <c r="G266" s="5">
        <v>50000</v>
      </c>
      <c r="H266" s="5">
        <v>25000</v>
      </c>
      <c r="I266" s="4" t="s">
        <v>17</v>
      </c>
      <c r="J266" s="4" t="s">
        <v>20</v>
      </c>
      <c r="K266" s="4" t="s">
        <v>20</v>
      </c>
      <c r="L266" s="4" t="s">
        <v>20</v>
      </c>
      <c r="M266" s="4" t="s">
        <v>322</v>
      </c>
      <c r="N266" t="str">
        <f t="shared" ca="1" si="13"/>
        <v>Overdue</v>
      </c>
      <c r="O266" s="4"/>
    </row>
    <row r="267" spans="1:17" ht="15.6" x14ac:dyDescent="0.35">
      <c r="A267" s="1" t="s">
        <v>336</v>
      </c>
      <c r="B267" s="4" t="s">
        <v>325</v>
      </c>
      <c r="C267" s="4" t="s">
        <v>20</v>
      </c>
      <c r="D267" s="4" t="s">
        <v>29</v>
      </c>
      <c r="E267" s="4" t="s">
        <v>29</v>
      </c>
      <c r="F267" s="6">
        <f t="shared" si="12"/>
        <v>46142</v>
      </c>
      <c r="G267" s="5">
        <v>54025</v>
      </c>
      <c r="H267" s="5">
        <v>54025</v>
      </c>
      <c r="I267" s="4" t="s">
        <v>91</v>
      </c>
      <c r="J267" s="4" t="s">
        <v>20</v>
      </c>
      <c r="K267" s="4" t="s">
        <v>20</v>
      </c>
      <c r="L267" s="4" t="s">
        <v>20</v>
      </c>
      <c r="M267" s="4" t="s">
        <v>337</v>
      </c>
      <c r="N267" t="str">
        <f t="shared" ca="1" si="13"/>
        <v>Overdue</v>
      </c>
      <c r="O267" s="4"/>
    </row>
    <row r="268" spans="1:17" ht="21.6" x14ac:dyDescent="0.35">
      <c r="A268" s="1" t="s">
        <v>339</v>
      </c>
      <c r="B268" s="4" t="s">
        <v>325</v>
      </c>
      <c r="C268" s="4" t="s">
        <v>20</v>
      </c>
      <c r="D268" s="4" t="s">
        <v>29</v>
      </c>
      <c r="E268" s="4" t="s">
        <v>29</v>
      </c>
      <c r="F268" s="6">
        <f t="shared" si="12"/>
        <v>46142</v>
      </c>
      <c r="G268" s="5">
        <v>27687.5</v>
      </c>
      <c r="H268" s="5">
        <v>27687.5</v>
      </c>
      <c r="I268" s="4" t="s">
        <v>108</v>
      </c>
      <c r="J268" s="4" t="s">
        <v>20</v>
      </c>
      <c r="K268" s="4" t="s">
        <v>20</v>
      </c>
      <c r="L268" s="4" t="s">
        <v>20</v>
      </c>
      <c r="M268" s="4" t="s">
        <v>340</v>
      </c>
      <c r="N268" t="str">
        <f t="shared" ca="1" si="13"/>
        <v>Overdue</v>
      </c>
    </row>
    <row r="269" spans="1:17" ht="15.6" x14ac:dyDescent="0.35">
      <c r="A269" s="1" t="s">
        <v>324</v>
      </c>
      <c r="B269" s="4" t="s">
        <v>325</v>
      </c>
      <c r="C269" s="4" t="s">
        <v>20</v>
      </c>
      <c r="D269" s="4" t="s">
        <v>29</v>
      </c>
      <c r="E269" s="4" t="s">
        <v>29</v>
      </c>
      <c r="F269" s="6">
        <f t="shared" si="12"/>
        <v>46142</v>
      </c>
      <c r="G269" s="5">
        <v>6868.72</v>
      </c>
      <c r="H269" s="5">
        <v>6868.72</v>
      </c>
      <c r="I269" s="4" t="s">
        <v>17</v>
      </c>
      <c r="J269" s="4" t="s">
        <v>20</v>
      </c>
      <c r="K269" s="4" t="s">
        <v>20</v>
      </c>
      <c r="L269" s="4" t="s">
        <v>20</v>
      </c>
      <c r="M269" s="4" t="s">
        <v>326</v>
      </c>
      <c r="N269" t="str">
        <f t="shared" ca="1" si="13"/>
        <v>Overdue</v>
      </c>
      <c r="O269" s="4"/>
    </row>
    <row r="270" spans="1:17" ht="15.6" x14ac:dyDescent="0.35">
      <c r="A270" s="1" t="s">
        <v>327</v>
      </c>
      <c r="B270" s="4" t="s">
        <v>325</v>
      </c>
      <c r="C270" s="4" t="s">
        <v>20</v>
      </c>
      <c r="D270" s="4" t="s">
        <v>29</v>
      </c>
      <c r="E270" s="4" t="s">
        <v>29</v>
      </c>
      <c r="F270" s="6">
        <f t="shared" si="12"/>
        <v>46142</v>
      </c>
      <c r="G270" s="5">
        <v>21697.98</v>
      </c>
      <c r="H270" s="5">
        <v>21697.98</v>
      </c>
      <c r="I270" s="4" t="s">
        <v>17</v>
      </c>
      <c r="J270" s="4" t="s">
        <v>20</v>
      </c>
      <c r="K270" s="4" t="s">
        <v>20</v>
      </c>
      <c r="L270" s="4" t="s">
        <v>20</v>
      </c>
      <c r="M270" s="4" t="s">
        <v>328</v>
      </c>
      <c r="N270" t="str">
        <f t="shared" ca="1" si="13"/>
        <v>Overdue</v>
      </c>
    </row>
    <row r="271" spans="1:17" ht="15.6" x14ac:dyDescent="0.35">
      <c r="A271" s="1" t="s">
        <v>336</v>
      </c>
      <c r="B271" s="4" t="s">
        <v>325</v>
      </c>
      <c r="C271" s="4" t="s">
        <v>20</v>
      </c>
      <c r="D271" s="4" t="s">
        <v>29</v>
      </c>
      <c r="E271" s="4" t="s">
        <v>29</v>
      </c>
      <c r="F271" s="6">
        <f t="shared" si="12"/>
        <v>46142</v>
      </c>
      <c r="G271" s="5">
        <v>82037.5</v>
      </c>
      <c r="H271" s="5">
        <v>82037.5</v>
      </c>
      <c r="I271" s="4" t="s">
        <v>91</v>
      </c>
      <c r="J271" s="4" t="s">
        <v>20</v>
      </c>
      <c r="K271" s="4" t="s">
        <v>20</v>
      </c>
      <c r="L271" s="4" t="s">
        <v>20</v>
      </c>
      <c r="M271" s="4" t="s">
        <v>338</v>
      </c>
      <c r="N271" t="str">
        <f t="shared" ca="1" si="13"/>
        <v>Overdue</v>
      </c>
    </row>
    <row r="272" spans="1:17" ht="15.6" x14ac:dyDescent="0.35">
      <c r="A272" s="1" t="s">
        <v>329</v>
      </c>
      <c r="B272" s="4" t="s">
        <v>330</v>
      </c>
      <c r="C272" s="4" t="s">
        <v>331</v>
      </c>
      <c r="D272" s="4" t="s">
        <v>16</v>
      </c>
      <c r="E272" s="4" t="s">
        <v>16</v>
      </c>
      <c r="F272" s="6">
        <f t="shared" si="12"/>
        <v>46153</v>
      </c>
      <c r="G272" s="5">
        <v>3750</v>
      </c>
      <c r="H272" s="5">
        <v>3750</v>
      </c>
      <c r="I272" s="4" t="s">
        <v>17</v>
      </c>
      <c r="J272" s="4" t="s">
        <v>20</v>
      </c>
      <c r="K272" s="4" t="s">
        <v>20</v>
      </c>
      <c r="L272" s="4" t="s">
        <v>20</v>
      </c>
      <c r="M272" s="4" t="s">
        <v>332</v>
      </c>
      <c r="N272" t="str">
        <f t="shared" ca="1" si="13"/>
        <v>Overdue</v>
      </c>
    </row>
    <row r="273" spans="1:15" ht="15.6" x14ac:dyDescent="0.35">
      <c r="A273" s="1" t="s">
        <v>333</v>
      </c>
      <c r="B273" s="4" t="s">
        <v>330</v>
      </c>
      <c r="C273" s="4" t="s">
        <v>334</v>
      </c>
      <c r="D273" s="4" t="s">
        <v>64</v>
      </c>
      <c r="E273" s="4" t="s">
        <v>64</v>
      </c>
      <c r="F273" s="6">
        <f t="shared" si="12"/>
        <v>46146</v>
      </c>
      <c r="G273" s="5">
        <v>1401.19</v>
      </c>
      <c r="H273" s="5">
        <v>1401.19</v>
      </c>
      <c r="I273" s="4" t="s">
        <v>17</v>
      </c>
      <c r="J273" s="4" t="s">
        <v>20</v>
      </c>
      <c r="K273" s="4" t="s">
        <v>20</v>
      </c>
      <c r="L273" s="4" t="s">
        <v>20</v>
      </c>
      <c r="M273" s="4" t="s">
        <v>335</v>
      </c>
      <c r="N273" t="str">
        <f t="shared" ca="1" si="13"/>
        <v>Overdue</v>
      </c>
    </row>
    <row r="274" spans="1:15" ht="15.6" x14ac:dyDescent="0.35">
      <c r="A274" s="1" t="s">
        <v>755</v>
      </c>
      <c r="B274" s="4" t="s">
        <v>756</v>
      </c>
      <c r="C274" s="4" t="s">
        <v>20</v>
      </c>
      <c r="D274" s="4" t="s">
        <v>473</v>
      </c>
      <c r="E274" s="4" t="s">
        <v>757</v>
      </c>
      <c r="F274" s="6">
        <f t="shared" si="12"/>
        <v>46302</v>
      </c>
      <c r="G274" s="5">
        <v>5000</v>
      </c>
      <c r="H274" s="5">
        <v>5000</v>
      </c>
      <c r="I274" s="4" t="s">
        <v>17</v>
      </c>
      <c r="J274" s="4" t="s">
        <v>20</v>
      </c>
      <c r="K274" s="4" t="s">
        <v>20</v>
      </c>
      <c r="L274" s="4" t="s">
        <v>20</v>
      </c>
      <c r="M274" s="4" t="s">
        <v>758</v>
      </c>
      <c r="N274" t="str">
        <f t="shared" ca="1" si="13"/>
        <v>Not Due</v>
      </c>
    </row>
    <row r="275" spans="1:15" ht="15.6" x14ac:dyDescent="0.35">
      <c r="A275" s="1" t="s">
        <v>755</v>
      </c>
      <c r="B275" s="4" t="s">
        <v>756</v>
      </c>
      <c r="C275" s="4" t="s">
        <v>20</v>
      </c>
      <c r="D275" s="4" t="s">
        <v>759</v>
      </c>
      <c r="E275" s="4" t="s">
        <v>760</v>
      </c>
      <c r="F275" s="6">
        <f t="shared" si="12"/>
        <v>46363</v>
      </c>
      <c r="G275" s="5">
        <v>5000</v>
      </c>
      <c r="H275" s="5">
        <v>5000</v>
      </c>
      <c r="I275" s="4" t="s">
        <v>17</v>
      </c>
      <c r="J275" s="4" t="s">
        <v>20</v>
      </c>
      <c r="K275" s="4" t="s">
        <v>20</v>
      </c>
      <c r="L275" s="4" t="s">
        <v>20</v>
      </c>
      <c r="M275" s="4" t="s">
        <v>761</v>
      </c>
      <c r="N275" t="str">
        <f t="shared" ca="1" si="13"/>
        <v>Not Due</v>
      </c>
    </row>
    <row r="276" spans="1:15" ht="15.6" x14ac:dyDescent="0.35">
      <c r="A276" s="1" t="s">
        <v>755</v>
      </c>
      <c r="B276" s="4" t="s">
        <v>756</v>
      </c>
      <c r="C276" s="4" t="s">
        <v>20</v>
      </c>
      <c r="D276" s="4" t="s">
        <v>222</v>
      </c>
      <c r="E276" s="4" t="s">
        <v>724</v>
      </c>
      <c r="F276" s="6">
        <f t="shared" si="12"/>
        <v>46180</v>
      </c>
      <c r="G276" s="5">
        <v>5000</v>
      </c>
      <c r="H276" s="5">
        <v>5000</v>
      </c>
      <c r="I276" s="4" t="s">
        <v>17</v>
      </c>
      <c r="J276" s="4" t="s">
        <v>20</v>
      </c>
      <c r="K276" s="4" t="s">
        <v>20</v>
      </c>
      <c r="L276" s="4" t="s">
        <v>20</v>
      </c>
      <c r="M276" s="4" t="s">
        <v>762</v>
      </c>
      <c r="N276" t="str">
        <f t="shared" ca="1" si="13"/>
        <v>Not Due</v>
      </c>
    </row>
    <row r="277" spans="1:15" ht="15.6" x14ac:dyDescent="0.35">
      <c r="A277" s="1" t="s">
        <v>755</v>
      </c>
      <c r="B277" s="4" t="s">
        <v>756</v>
      </c>
      <c r="C277" s="4" t="s">
        <v>20</v>
      </c>
      <c r="D277" s="4" t="s">
        <v>763</v>
      </c>
      <c r="E277" s="4" t="s">
        <v>764</v>
      </c>
      <c r="F277" s="6">
        <f t="shared" si="12"/>
        <v>46272</v>
      </c>
      <c r="G277" s="5">
        <v>5000</v>
      </c>
      <c r="H277" s="5">
        <v>5000</v>
      </c>
      <c r="I277" s="4" t="s">
        <v>17</v>
      </c>
      <c r="J277" s="4" t="s">
        <v>20</v>
      </c>
      <c r="K277" s="4" t="s">
        <v>20</v>
      </c>
      <c r="L277" s="4" t="s">
        <v>20</v>
      </c>
      <c r="M277" s="4" t="s">
        <v>765</v>
      </c>
      <c r="N277" t="str">
        <f t="shared" ca="1" si="13"/>
        <v>Not Due</v>
      </c>
    </row>
    <row r="278" spans="1:15" ht="15.6" x14ac:dyDescent="0.35">
      <c r="A278" s="1" t="s">
        <v>755</v>
      </c>
      <c r="B278" s="4" t="s">
        <v>756</v>
      </c>
      <c r="C278" s="4" t="s">
        <v>20</v>
      </c>
      <c r="D278" s="4" t="s">
        <v>454</v>
      </c>
      <c r="E278" s="4" t="s">
        <v>766</v>
      </c>
      <c r="F278" s="6">
        <f t="shared" si="12"/>
        <v>46241</v>
      </c>
      <c r="G278" s="5">
        <v>5000</v>
      </c>
      <c r="H278" s="5">
        <v>5000</v>
      </c>
      <c r="I278" s="4" t="s">
        <v>17</v>
      </c>
      <c r="J278" s="4" t="s">
        <v>20</v>
      </c>
      <c r="K278" s="4" t="s">
        <v>20</v>
      </c>
      <c r="L278" s="4" t="s">
        <v>20</v>
      </c>
      <c r="M278" s="4" t="s">
        <v>767</v>
      </c>
      <c r="N278" t="str">
        <f t="shared" ca="1" si="13"/>
        <v>Not Due</v>
      </c>
      <c r="O278" s="7"/>
    </row>
    <row r="279" spans="1:15" ht="15.6" x14ac:dyDescent="0.35">
      <c r="A279" s="1" t="s">
        <v>755</v>
      </c>
      <c r="B279" s="4" t="s">
        <v>756</v>
      </c>
      <c r="C279" s="4" t="s">
        <v>20</v>
      </c>
      <c r="D279" s="4" t="s">
        <v>768</v>
      </c>
      <c r="E279" s="4" t="s">
        <v>769</v>
      </c>
      <c r="F279" s="6">
        <f t="shared" si="12"/>
        <v>46333</v>
      </c>
      <c r="G279" s="5">
        <v>5000</v>
      </c>
      <c r="H279" s="5">
        <v>5000</v>
      </c>
      <c r="I279" s="4" t="s">
        <v>17</v>
      </c>
      <c r="J279" s="4" t="s">
        <v>20</v>
      </c>
      <c r="K279" s="4" t="s">
        <v>20</v>
      </c>
      <c r="L279" s="4" t="s">
        <v>20</v>
      </c>
      <c r="M279" s="4" t="s">
        <v>770</v>
      </c>
      <c r="N279" t="str">
        <f t="shared" ca="1" si="13"/>
        <v>Not Due</v>
      </c>
    </row>
    <row r="280" spans="1:15" ht="15.6" x14ac:dyDescent="0.35">
      <c r="A280" s="1" t="s">
        <v>755</v>
      </c>
      <c r="B280" s="4" t="s">
        <v>756</v>
      </c>
      <c r="C280" s="4" t="s">
        <v>20</v>
      </c>
      <c r="D280" s="4" t="s">
        <v>457</v>
      </c>
      <c r="E280" s="4" t="s">
        <v>600</v>
      </c>
      <c r="F280" s="6">
        <f t="shared" si="12"/>
        <v>46210</v>
      </c>
      <c r="G280" s="5">
        <v>5000</v>
      </c>
      <c r="H280" s="5">
        <v>5000</v>
      </c>
      <c r="I280" s="4" t="s">
        <v>17</v>
      </c>
      <c r="J280" s="4" t="s">
        <v>20</v>
      </c>
      <c r="K280" s="4" t="s">
        <v>20</v>
      </c>
      <c r="L280" s="4" t="s">
        <v>20</v>
      </c>
      <c r="M280" s="4" t="s">
        <v>771</v>
      </c>
      <c r="N280" t="str">
        <f t="shared" ca="1" si="13"/>
        <v>Not Due</v>
      </c>
    </row>
  </sheetData>
  <autoFilter ref="A1:Q280" xr:uid="{8D4B3FEF-A70D-B944-82F4-C9836B1811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1FA4395050DD44977396BCFB156F7B" ma:contentTypeVersion="15" ma:contentTypeDescription="Create a new document." ma:contentTypeScope="" ma:versionID="c9e13c855beace131c127600ccccc528">
  <xsd:schema xmlns:xsd="http://www.w3.org/2001/XMLSchema" xmlns:xs="http://www.w3.org/2001/XMLSchema" xmlns:p="http://schemas.microsoft.com/office/2006/metadata/properties" xmlns:ns1="http://schemas.microsoft.com/sharepoint/v3" xmlns:ns2="f6fb7e9d-6c34-43be-830f-a0be7e8fa607" xmlns:ns3="47a6c1a3-7173-4575-ab53-560009bcf2ce" targetNamespace="http://schemas.microsoft.com/office/2006/metadata/properties" ma:root="true" ma:fieldsID="9ff46f1159f0992519923112f9b963a2" ns1:_="" ns2:_="" ns3:_="">
    <xsd:import namespace="http://schemas.microsoft.com/sharepoint/v3"/>
    <xsd:import namespace="f6fb7e9d-6c34-43be-830f-a0be7e8fa607"/>
    <xsd:import namespace="47a6c1a3-7173-4575-ab53-560009bcf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b7e9d-6c34-43be-830f-a0be7e8fa6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3f03c-a951-4d05-9156-c0cf33589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6c1a3-7173-4575-ab53-560009bcf2c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d466232-de20-4d46-911a-2581c85f443f}" ma:internalName="TaxCatchAll" ma:showField="CatchAllData" ma:web="47a6c1a3-7173-4575-ab53-560009bcf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47a6c1a3-7173-4575-ab53-560009bcf2ce" xsi:nil="true"/>
    <lcf76f155ced4ddcb4097134ff3c332f xmlns="f6fb7e9d-6c34-43be-830f-a0be7e8fa6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CBF4BA-1F2D-4EAD-8DAC-F07E2BC551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6fb7e9d-6c34-43be-830f-a0be7e8fa607"/>
    <ds:schemaRef ds:uri="47a6c1a3-7173-4575-ab53-560009bcf2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8FA6C3-3A08-456E-9B2E-09DBE0D8B9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AA7EA6-A356-468C-B11F-E3C8C56748A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7a6c1a3-7173-4575-ab53-560009bcf2ce"/>
    <ds:schemaRef ds:uri="f6fb7e9d-6c34-43be-830f-a0be7e8fa6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Run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Joe Guttenplan</cp:lastModifiedBy>
  <cp:revision/>
  <dcterms:created xsi:type="dcterms:W3CDTF">2022-03-24T08:55:57Z</dcterms:created>
  <dcterms:modified xsi:type="dcterms:W3CDTF">2026-05-21T22:27:54Z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0x0101002E1FA4395050DD44977396BCFB156F7B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2026-05-20T22:28:25Z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2bd4b881-6847-4d95-aca3-e07222d61355</vt:lpwstr>
  </property>
  <property fmtid="{D5CDD505-2E9C-101B-9397-08002B2CF9AE}" pid="9" name="MSIP_Label_defa4170-0d19-0005-0004-bc88714345d2_ActionId">
    <vt:lpwstr>7cfb5ab5-10a1-4b3b-a107-15a9e97da629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